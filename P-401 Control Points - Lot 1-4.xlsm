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hilipjohnson/Desktop/form-sheets/"/>
    </mc:Choice>
  </mc:AlternateContent>
  <xr:revisionPtr revIDLastSave="0" documentId="13_ncr:1_{A49FE748-9C83-C949-89FA-9E5D9532A6D2}" xr6:coauthVersionLast="47" xr6:coauthVersionMax="47" xr10:uidLastSave="{00000000-0000-0000-0000-000000000000}"/>
  <bookViews>
    <workbookView xWindow="34280" yWindow="-8800" windowWidth="28800" windowHeight="17500" xr2:uid="{00000000-000D-0000-FFFF-FFFF00000000}"/>
  </bookViews>
  <sheets>
    <sheet name="Report" sheetId="1" r:id="rId1"/>
    <sheet name="Charts" sheetId="3" r:id="rId2"/>
    <sheet name="Configure" sheetId="2" r:id="rId3"/>
  </sheets>
  <definedNames>
    <definedName name="_xlnm.Print_Area" localSheetId="1">Charts!$B$6:$S$193</definedName>
    <definedName name="_xlnm.Print_Area" localSheetId="2">Configure!$B$3:$S$23</definedName>
    <definedName name="_xlnm.Print_Area" localSheetId="0">Report!$B$2:$S$168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6" i="2" l="1"/>
  <c r="L125" i="1" s="1"/>
  <c r="M125" i="1" s="1"/>
  <c r="N125" i="1" s="1"/>
  <c r="O125" i="1" s="1"/>
  <c r="R16" i="2"/>
  <c r="M18" i="2"/>
  <c r="K18" i="2"/>
  <c r="P118" i="1"/>
  <c r="K17" i="2"/>
  <c r="L17" i="2"/>
  <c r="K16" i="2"/>
  <c r="L16" i="2"/>
  <c r="K15" i="2"/>
  <c r="L15" i="2"/>
  <c r="K13" i="2"/>
  <c r="L13" i="2"/>
  <c r="K11" i="2"/>
  <c r="L11" i="2"/>
  <c r="K9" i="2"/>
  <c r="L9" i="2"/>
  <c r="K8" i="2"/>
  <c r="L8" i="2"/>
  <c r="K7" i="2"/>
  <c r="L7" i="2"/>
  <c r="M14" i="2"/>
  <c r="N14" i="2"/>
  <c r="M12" i="2"/>
  <c r="N12" i="2"/>
  <c r="M10" i="2"/>
  <c r="N10" i="2"/>
  <c r="J18" i="2"/>
  <c r="L120" i="1" s="1"/>
  <c r="M120" i="1" s="1"/>
  <c r="N120" i="1" s="1"/>
  <c r="O120" i="1" s="1"/>
  <c r="I18" i="2"/>
  <c r="J17" i="2"/>
  <c r="O17" i="2" s="1"/>
  <c r="P17" i="2" s="1"/>
  <c r="I17" i="2"/>
  <c r="M17" i="2"/>
  <c r="N17" i="2" s="1"/>
  <c r="J16" i="2"/>
  <c r="D130" i="1" s="1"/>
  <c r="E130" i="1" s="1"/>
  <c r="F130" i="1" s="1"/>
  <c r="G130" i="1" s="1"/>
  <c r="I16" i="2"/>
  <c r="M16" i="2"/>
  <c r="N16" i="2" s="1"/>
  <c r="L131" i="1"/>
  <c r="M131" i="1" s="1"/>
  <c r="N131" i="1" s="1"/>
  <c r="O131" i="1" s="1"/>
  <c r="J15" i="2"/>
  <c r="O15" i="2" s="1"/>
  <c r="I15" i="2"/>
  <c r="M15" i="2" s="1"/>
  <c r="N15" i="2" s="1"/>
  <c r="J13" i="2"/>
  <c r="O13" i="2" s="1"/>
  <c r="I13" i="2"/>
  <c r="M13" i="2" s="1"/>
  <c r="N13" i="2" s="1"/>
  <c r="J11" i="2"/>
  <c r="O11" i="2"/>
  <c r="P98" i="1" s="1"/>
  <c r="Q98" i="1" s="1"/>
  <c r="R98" i="1" s="1"/>
  <c r="S98" i="1" s="1"/>
  <c r="I11" i="2"/>
  <c r="M11" i="2" s="1"/>
  <c r="N11" i="2" s="1"/>
  <c r="J9" i="2"/>
  <c r="O9" i="2"/>
  <c r="D90" i="1" s="1"/>
  <c r="E90" i="1" s="1"/>
  <c r="F90" i="1" s="1"/>
  <c r="G90" i="1" s="1"/>
  <c r="I9" i="2"/>
  <c r="M9" i="2" s="1"/>
  <c r="N9" i="2" s="1"/>
  <c r="J8" i="2"/>
  <c r="O8" i="2"/>
  <c r="I8" i="2"/>
  <c r="M8" i="2" s="1"/>
  <c r="N8" i="2" s="1"/>
  <c r="J7" i="2"/>
  <c r="O7" i="2" s="1"/>
  <c r="I7" i="2"/>
  <c r="M7" i="2"/>
  <c r="N7" i="2"/>
  <c r="J6" i="2"/>
  <c r="O6" i="2" s="1"/>
  <c r="I6" i="2"/>
  <c r="M6" i="2" s="1"/>
  <c r="N6" i="2" s="1"/>
  <c r="K6" i="2"/>
  <c r="L6" i="2"/>
  <c r="K10" i="2"/>
  <c r="L10" i="2"/>
  <c r="O10" i="2"/>
  <c r="P10" i="2"/>
  <c r="K12" i="2"/>
  <c r="L12" i="2"/>
  <c r="O12" i="2"/>
  <c r="P12" i="2"/>
  <c r="K14" i="2"/>
  <c r="L14" i="2"/>
  <c r="O14" i="2"/>
  <c r="P14" i="2"/>
  <c r="S166" i="1"/>
  <c r="R70" i="1"/>
  <c r="S165" i="1"/>
  <c r="P165" i="1"/>
  <c r="S164" i="1"/>
  <c r="P64" i="1"/>
  <c r="S163" i="1"/>
  <c r="S162" i="1"/>
  <c r="P58" i="1"/>
  <c r="S161" i="1"/>
  <c r="S160" i="1"/>
  <c r="P52" i="1"/>
  <c r="P53" i="1"/>
  <c r="Q53" i="1" s="1"/>
  <c r="R53" i="1" s="1"/>
  <c r="S53" i="1" s="1"/>
  <c r="S159" i="1"/>
  <c r="S158" i="1"/>
  <c r="P46" i="1"/>
  <c r="P82" i="1"/>
  <c r="Q82" i="1" s="1"/>
  <c r="R82" i="1" s="1"/>
  <c r="S82" i="1" s="1"/>
  <c r="P11" i="2"/>
  <c r="H97" i="1" s="1"/>
  <c r="I97" i="1" s="1"/>
  <c r="J97" i="1" s="1"/>
  <c r="K97" i="1" s="1"/>
  <c r="D98" i="1"/>
  <c r="E98" i="1" s="1"/>
  <c r="F98" i="1"/>
  <c r="G98" i="1" s="1"/>
  <c r="L98" i="1"/>
  <c r="M98" i="1"/>
  <c r="N98" i="1"/>
  <c r="O98" i="1" s="1"/>
  <c r="O18" i="2"/>
  <c r="H82" i="1"/>
  <c r="I82" i="1" s="1"/>
  <c r="J82" i="1"/>
  <c r="K82" i="1" s="1"/>
  <c r="H118" i="1"/>
  <c r="D120" i="1"/>
  <c r="E120" i="1"/>
  <c r="F120" i="1" s="1"/>
  <c r="G120" i="1" s="1"/>
  <c r="P131" i="1"/>
  <c r="Q131" i="1" s="1"/>
  <c r="R131" i="1" s="1"/>
  <c r="S131" i="1" s="1"/>
  <c r="H98" i="1"/>
  <c r="I98" i="1"/>
  <c r="J98" i="1" s="1"/>
  <c r="K98" i="1"/>
  <c r="O166" i="1"/>
  <c r="N70" i="1"/>
  <c r="O165" i="1"/>
  <c r="L67" i="1"/>
  <c r="L68" i="1" s="1"/>
  <c r="O164" i="1"/>
  <c r="M164" i="1"/>
  <c r="O163" i="1"/>
  <c r="O162" i="1"/>
  <c r="O161" i="1"/>
  <c r="N55" i="1"/>
  <c r="O160" i="1"/>
  <c r="L160" i="1"/>
  <c r="O159" i="1"/>
  <c r="O158" i="1"/>
  <c r="M158" i="1"/>
  <c r="N46" i="1"/>
  <c r="K166" i="1"/>
  <c r="J166" i="1"/>
  <c r="I166" i="1"/>
  <c r="H166" i="1"/>
  <c r="K164" i="1"/>
  <c r="I164" i="1"/>
  <c r="H64" i="1"/>
  <c r="H65" i="1"/>
  <c r="I65" i="1" s="1"/>
  <c r="J65" i="1" s="1"/>
  <c r="K65" i="1" s="1"/>
  <c r="K163" i="1"/>
  <c r="K162" i="1"/>
  <c r="J162" i="1"/>
  <c r="H162" i="1"/>
  <c r="K161" i="1"/>
  <c r="I161" i="1"/>
  <c r="H55" i="1"/>
  <c r="J52" i="1"/>
  <c r="J160" i="1"/>
  <c r="K159" i="1"/>
  <c r="J49" i="1"/>
  <c r="I159" i="1"/>
  <c r="K158" i="1"/>
  <c r="J158" i="1"/>
  <c r="I158" i="1"/>
  <c r="F18" i="2"/>
  <c r="G166" i="1"/>
  <c r="G164" i="1"/>
  <c r="G163" i="1"/>
  <c r="G161" i="1"/>
  <c r="F165" i="1"/>
  <c r="F164" i="1"/>
  <c r="F163" i="1"/>
  <c r="F161" i="1"/>
  <c r="F160" i="1"/>
  <c r="E166" i="1"/>
  <c r="E163" i="1"/>
  <c r="E162" i="1"/>
  <c r="D55" i="1"/>
  <c r="F64" i="1"/>
  <c r="D163" i="1"/>
  <c r="D52" i="1"/>
  <c r="F6" i="2"/>
  <c r="D76" i="1"/>
  <c r="E76" i="1"/>
  <c r="F76" i="1" s="1"/>
  <c r="G76" i="1" s="1"/>
  <c r="H76" i="1" s="1"/>
  <c r="I76" i="1" s="1"/>
  <c r="J76" i="1" s="1"/>
  <c r="K76" i="1" s="1"/>
  <c r="L76" i="1" s="1"/>
  <c r="M76" i="1" s="1"/>
  <c r="N76" i="1" s="1"/>
  <c r="O76" i="1" s="1"/>
  <c r="P76" i="1" s="1"/>
  <c r="Q76" i="1" s="1"/>
  <c r="R76" i="1" s="1"/>
  <c r="S76" i="1" s="1"/>
  <c r="F7" i="2"/>
  <c r="F8" i="2"/>
  <c r="G8" i="2"/>
  <c r="D83" i="1"/>
  <c r="E83" i="1"/>
  <c r="F83" i="1" s="1"/>
  <c r="G83" i="1" s="1"/>
  <c r="H83" i="1" s="1"/>
  <c r="I83" i="1" s="1"/>
  <c r="J83" i="1" s="1"/>
  <c r="K83" i="1" s="1"/>
  <c r="L83" i="1" s="1"/>
  <c r="M83" i="1" s="1"/>
  <c r="N83" i="1" s="1"/>
  <c r="O83" i="1" s="1"/>
  <c r="P83" i="1" s="1"/>
  <c r="Q83" i="1" s="1"/>
  <c r="R83" i="1" s="1"/>
  <c r="S83" i="1" s="1"/>
  <c r="F9" i="2"/>
  <c r="G9" i="2"/>
  <c r="D87" i="1"/>
  <c r="E87" i="1"/>
  <c r="F87" i="1" s="1"/>
  <c r="G87" i="1" s="1"/>
  <c r="H87" i="1" s="1"/>
  <c r="I87" i="1" s="1"/>
  <c r="J87" i="1" s="1"/>
  <c r="K87" i="1" s="1"/>
  <c r="L87" i="1" s="1"/>
  <c r="M87" i="1" s="1"/>
  <c r="N87" i="1" s="1"/>
  <c r="O87" i="1" s="1"/>
  <c r="P87" i="1" s="1"/>
  <c r="Q87" i="1" s="1"/>
  <c r="R87" i="1" s="1"/>
  <c r="S87" i="1" s="1"/>
  <c r="F10" i="2"/>
  <c r="G10" i="2"/>
  <c r="D91" i="1"/>
  <c r="E91" i="1"/>
  <c r="F91" i="1"/>
  <c r="G91" i="1" s="1"/>
  <c r="H91" i="1" s="1"/>
  <c r="I91" i="1" s="1"/>
  <c r="J91" i="1" s="1"/>
  <c r="K91" i="1"/>
  <c r="L91" i="1" s="1"/>
  <c r="M91" i="1" s="1"/>
  <c r="N91" i="1"/>
  <c r="O91" i="1" s="1"/>
  <c r="P91" i="1" s="1"/>
  <c r="Q91" i="1" s="1"/>
  <c r="R91" i="1" s="1"/>
  <c r="S91" i="1" s="1"/>
  <c r="F11" i="2"/>
  <c r="G11" i="2"/>
  <c r="D95" i="1"/>
  <c r="E95" i="1" s="1"/>
  <c r="F95" i="1" s="1"/>
  <c r="G95" i="1" s="1"/>
  <c r="H95" i="1" s="1"/>
  <c r="I95" i="1"/>
  <c r="J95" i="1" s="1"/>
  <c r="K95" i="1"/>
  <c r="L95" i="1" s="1"/>
  <c r="M95" i="1" s="1"/>
  <c r="N95" i="1" s="1"/>
  <c r="O95" i="1" s="1"/>
  <c r="P95" i="1" s="1"/>
  <c r="Q95" i="1"/>
  <c r="R95" i="1" s="1"/>
  <c r="S95" i="1"/>
  <c r="F12" i="2"/>
  <c r="G12" i="2"/>
  <c r="D99" i="1"/>
  <c r="E99" i="1"/>
  <c r="F99" i="1" s="1"/>
  <c r="G99" i="1"/>
  <c r="H99" i="1" s="1"/>
  <c r="I99" i="1" s="1"/>
  <c r="J99" i="1"/>
  <c r="K99" i="1" s="1"/>
  <c r="L99" i="1" s="1"/>
  <c r="M99" i="1" s="1"/>
  <c r="N99" i="1" s="1"/>
  <c r="O99" i="1"/>
  <c r="P99" i="1" s="1"/>
  <c r="Q99" i="1"/>
  <c r="R99" i="1" s="1"/>
  <c r="S99" i="1" s="1"/>
  <c r="F13" i="2"/>
  <c r="G13" i="2"/>
  <c r="D103" i="1"/>
  <c r="E103" i="1"/>
  <c r="F103" i="1" s="1"/>
  <c r="G103" i="1"/>
  <c r="H103" i="1"/>
  <c r="I103" i="1" s="1"/>
  <c r="J103" i="1" s="1"/>
  <c r="K103" i="1" s="1"/>
  <c r="L103" i="1" s="1"/>
  <c r="M103" i="1"/>
  <c r="N103" i="1" s="1"/>
  <c r="O103" i="1" s="1"/>
  <c r="P103" i="1" s="1"/>
  <c r="Q103" i="1" s="1"/>
  <c r="R103" i="1" s="1"/>
  <c r="S103" i="1" s="1"/>
  <c r="F14" i="2"/>
  <c r="D108" i="1"/>
  <c r="E108" i="1" s="1"/>
  <c r="F108" i="1" s="1"/>
  <c r="G108" i="1"/>
  <c r="H108" i="1" s="1"/>
  <c r="I108" i="1" s="1"/>
  <c r="J108" i="1" s="1"/>
  <c r="K108" i="1" s="1"/>
  <c r="L108" i="1" s="1"/>
  <c r="M108" i="1" s="1"/>
  <c r="N108" i="1" s="1"/>
  <c r="O108" i="1" s="1"/>
  <c r="P108" i="1" s="1"/>
  <c r="Q108" i="1" s="1"/>
  <c r="R108" i="1" s="1"/>
  <c r="S108" i="1" s="1"/>
  <c r="F15" i="2"/>
  <c r="G15" i="2"/>
  <c r="D111" i="1"/>
  <c r="E111" i="1" s="1"/>
  <c r="F111" i="1" s="1"/>
  <c r="G111" i="1" s="1"/>
  <c r="H111" i="1" s="1"/>
  <c r="I111" i="1" s="1"/>
  <c r="J111" i="1"/>
  <c r="K111" i="1" s="1"/>
  <c r="L111" i="1"/>
  <c r="M111" i="1" s="1"/>
  <c r="N111" i="1" s="1"/>
  <c r="O111" i="1" s="1"/>
  <c r="P111" i="1" s="1"/>
  <c r="Q111" i="1" s="1"/>
  <c r="R111" i="1" s="1"/>
  <c r="S111" i="1" s="1"/>
  <c r="F16" i="2"/>
  <c r="G16" i="2"/>
  <c r="D128" i="1"/>
  <c r="E128" i="1"/>
  <c r="F128" i="1"/>
  <c r="G128" i="1" s="1"/>
  <c r="H128" i="1"/>
  <c r="I128" i="1" s="1"/>
  <c r="J128" i="1" s="1"/>
  <c r="K128" i="1" s="1"/>
  <c r="L128" i="1" s="1"/>
  <c r="M128" i="1" s="1"/>
  <c r="N128" i="1" s="1"/>
  <c r="O128" i="1" s="1"/>
  <c r="P128" i="1" s="1"/>
  <c r="Q128" i="1" s="1"/>
  <c r="R128" i="1" s="1"/>
  <c r="S128" i="1" s="1"/>
  <c r="F17" i="2"/>
  <c r="D153" i="1"/>
  <c r="E153" i="1"/>
  <c r="F153" i="1" s="1"/>
  <c r="G153" i="1"/>
  <c r="H153" i="1" s="1"/>
  <c r="I153" i="1"/>
  <c r="J153" i="1" s="1"/>
  <c r="K153" i="1" s="1"/>
  <c r="L153" i="1" s="1"/>
  <c r="M153" i="1" s="1"/>
  <c r="N153" i="1" s="1"/>
  <c r="O153" i="1" s="1"/>
  <c r="P153" i="1" s="1"/>
  <c r="Q153" i="1" s="1"/>
  <c r="R153" i="1" s="1"/>
  <c r="S153" i="1" s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D43" i="1"/>
  <c r="F43" i="1"/>
  <c r="H43" i="1"/>
  <c r="J43" i="1"/>
  <c r="H44" i="1"/>
  <c r="I44" i="1"/>
  <c r="J44" i="1"/>
  <c r="K44" i="1"/>
  <c r="L43" i="1"/>
  <c r="N43" i="1"/>
  <c r="P43" i="1"/>
  <c r="R43" i="1"/>
  <c r="D45" i="1"/>
  <c r="E45" i="1"/>
  <c r="F45" i="1"/>
  <c r="G45" i="1" s="1"/>
  <c r="H45" i="1"/>
  <c r="I45" i="1"/>
  <c r="J45" i="1" s="1"/>
  <c r="K45" i="1" s="1"/>
  <c r="L45" i="1"/>
  <c r="M45" i="1"/>
  <c r="N45" i="1" s="1"/>
  <c r="O45" i="1" s="1"/>
  <c r="P45" i="1"/>
  <c r="Q45" i="1"/>
  <c r="R45" i="1" s="1"/>
  <c r="S45" i="1" s="1"/>
  <c r="D48" i="1"/>
  <c r="E48" i="1"/>
  <c r="F48" i="1"/>
  <c r="G48" i="1" s="1"/>
  <c r="H48" i="1"/>
  <c r="I48" i="1"/>
  <c r="J48" i="1" s="1"/>
  <c r="K48" i="1"/>
  <c r="L48" i="1"/>
  <c r="M48" i="1"/>
  <c r="N48" i="1"/>
  <c r="O48" i="1" s="1"/>
  <c r="P48" i="1"/>
  <c r="Q48" i="1"/>
  <c r="R48" i="1" s="1"/>
  <c r="S48" i="1" s="1"/>
  <c r="D51" i="1"/>
  <c r="E51" i="1"/>
  <c r="F51" i="1"/>
  <c r="G51" i="1" s="1"/>
  <c r="H51" i="1"/>
  <c r="I51" i="1"/>
  <c r="J51" i="1" s="1"/>
  <c r="K51" i="1"/>
  <c r="L51" i="1"/>
  <c r="M51" i="1"/>
  <c r="N51" i="1" s="1"/>
  <c r="O51" i="1" s="1"/>
  <c r="P51" i="1"/>
  <c r="Q51" i="1"/>
  <c r="R51" i="1" s="1"/>
  <c r="S51" i="1" s="1"/>
  <c r="D54" i="1"/>
  <c r="E54" i="1"/>
  <c r="F54" i="1"/>
  <c r="G54" i="1" s="1"/>
  <c r="H54" i="1"/>
  <c r="I54" i="1" s="1"/>
  <c r="J54" i="1" s="1"/>
  <c r="K54" i="1" s="1"/>
  <c r="L54" i="1"/>
  <c r="M54" i="1"/>
  <c r="N54" i="1"/>
  <c r="O54" i="1" s="1"/>
  <c r="P54" i="1"/>
  <c r="Q54" i="1"/>
  <c r="R54" i="1" s="1"/>
  <c r="S54" i="1" s="1"/>
  <c r="D57" i="1"/>
  <c r="E57" i="1"/>
  <c r="F57" i="1"/>
  <c r="G57" i="1" s="1"/>
  <c r="H57" i="1"/>
  <c r="I57" i="1"/>
  <c r="J57" i="1"/>
  <c r="K57" i="1"/>
  <c r="L57" i="1"/>
  <c r="M57" i="1"/>
  <c r="N57" i="1"/>
  <c r="O57" i="1" s="1"/>
  <c r="P57" i="1"/>
  <c r="Q57" i="1" s="1"/>
  <c r="R57" i="1" s="1"/>
  <c r="S57" i="1" s="1"/>
  <c r="D60" i="1"/>
  <c r="E60" i="1"/>
  <c r="F60" i="1" s="1"/>
  <c r="G60" i="1" s="1"/>
  <c r="H60" i="1"/>
  <c r="I60" i="1"/>
  <c r="J60" i="1" s="1"/>
  <c r="K60" i="1"/>
  <c r="L60" i="1"/>
  <c r="M60" i="1"/>
  <c r="N60" i="1"/>
  <c r="O60" i="1" s="1"/>
  <c r="P60" i="1"/>
  <c r="Q60" i="1"/>
  <c r="R60" i="1"/>
  <c r="S60" i="1" s="1"/>
  <c r="D63" i="1"/>
  <c r="E63" i="1"/>
  <c r="F63" i="1"/>
  <c r="G63" i="1" s="1"/>
  <c r="H63" i="1"/>
  <c r="I63" i="1" s="1"/>
  <c r="J63" i="1" s="1"/>
  <c r="K63" i="1" s="1"/>
  <c r="L63" i="1"/>
  <c r="M63" i="1"/>
  <c r="N63" i="1"/>
  <c r="O63" i="1" s="1"/>
  <c r="P63" i="1"/>
  <c r="Q63" i="1"/>
  <c r="R63" i="1" s="1"/>
  <c r="S63" i="1" s="1"/>
  <c r="D66" i="1"/>
  <c r="E66" i="1"/>
  <c r="F66" i="1"/>
  <c r="G66" i="1" s="1"/>
  <c r="H66" i="1"/>
  <c r="I66" i="1"/>
  <c r="J66" i="1"/>
  <c r="K66" i="1" s="1"/>
  <c r="L66" i="1"/>
  <c r="M66" i="1"/>
  <c r="N66" i="1" s="1"/>
  <c r="O66" i="1" s="1"/>
  <c r="P66" i="1"/>
  <c r="Q66" i="1"/>
  <c r="R66" i="1" s="1"/>
  <c r="S66" i="1" s="1"/>
  <c r="D69" i="1"/>
  <c r="E69" i="1"/>
  <c r="F69" i="1"/>
  <c r="G69" i="1" s="1"/>
  <c r="H69" i="1"/>
  <c r="I69" i="1"/>
  <c r="J69" i="1"/>
  <c r="K69" i="1" s="1"/>
  <c r="L69" i="1"/>
  <c r="M69" i="1"/>
  <c r="N69" i="1"/>
  <c r="O69" i="1" s="1"/>
  <c r="P69" i="1"/>
  <c r="Q69" i="1" s="1"/>
  <c r="R69" i="1"/>
  <c r="S69" i="1"/>
  <c r="D72" i="1"/>
  <c r="E72" i="1"/>
  <c r="F72" i="1" s="1"/>
  <c r="G72" i="1" s="1"/>
  <c r="H72" i="1"/>
  <c r="I72" i="1"/>
  <c r="J72" i="1" s="1"/>
  <c r="K72" i="1"/>
  <c r="L72" i="1"/>
  <c r="M72" i="1"/>
  <c r="N72" i="1"/>
  <c r="O72" i="1" s="1"/>
  <c r="P72" i="1"/>
  <c r="Q72" i="1"/>
  <c r="R72" i="1"/>
  <c r="S72" i="1" s="1"/>
  <c r="D75" i="1"/>
  <c r="E75" i="1"/>
  <c r="F75" i="1" s="1"/>
  <c r="G75" i="1" s="1"/>
  <c r="H75" i="1" s="1"/>
  <c r="I75" i="1" s="1"/>
  <c r="J75" i="1" s="1"/>
  <c r="K75" i="1" s="1"/>
  <c r="L75" i="1" s="1"/>
  <c r="M75" i="1" s="1"/>
  <c r="N75" i="1" s="1"/>
  <c r="O75" i="1" s="1"/>
  <c r="P75" i="1" s="1"/>
  <c r="Q75" i="1" s="1"/>
  <c r="R75" i="1" s="1"/>
  <c r="S75" i="1" s="1"/>
  <c r="D88" i="1"/>
  <c r="E88" i="1" s="1"/>
  <c r="F88" i="1"/>
  <c r="G88" i="1" s="1"/>
  <c r="H88" i="1" s="1"/>
  <c r="I88" i="1" s="1"/>
  <c r="J88" i="1" s="1"/>
  <c r="K88" i="1" s="1"/>
  <c r="L88" i="1" s="1"/>
  <c r="M88" i="1" s="1"/>
  <c r="N88" i="1" s="1"/>
  <c r="O88" i="1" s="1"/>
  <c r="P88" i="1" s="1"/>
  <c r="Q88" i="1" s="1"/>
  <c r="R88" i="1" s="1"/>
  <c r="S88" i="1" s="1"/>
  <c r="D94" i="1"/>
  <c r="E94" i="1"/>
  <c r="F94" i="1"/>
  <c r="G94" i="1" s="1"/>
  <c r="H94" i="1" s="1"/>
  <c r="I94" i="1"/>
  <c r="J94" i="1"/>
  <c r="K94" i="1" s="1"/>
  <c r="L94" i="1" s="1"/>
  <c r="M94" i="1" s="1"/>
  <c r="N94" i="1" s="1"/>
  <c r="O94" i="1" s="1"/>
  <c r="P94" i="1" s="1"/>
  <c r="Q94" i="1" s="1"/>
  <c r="R94" i="1" s="1"/>
  <c r="S94" i="1" s="1"/>
  <c r="D104" i="1"/>
  <c r="E104" i="1"/>
  <c r="F104" i="1" s="1"/>
  <c r="G104" i="1" s="1"/>
  <c r="H104" i="1" s="1"/>
  <c r="I104" i="1" s="1"/>
  <c r="J104" i="1" s="1"/>
  <c r="K104" i="1"/>
  <c r="L104" i="1"/>
  <c r="M104" i="1" s="1"/>
  <c r="N104" i="1" s="1"/>
  <c r="O104" i="1" s="1"/>
  <c r="P104" i="1" s="1"/>
  <c r="Q104" i="1" s="1"/>
  <c r="R104" i="1" s="1"/>
  <c r="S104" i="1" s="1"/>
  <c r="D123" i="1"/>
  <c r="F123" i="1"/>
  <c r="H123" i="1"/>
  <c r="H124" i="1"/>
  <c r="I124" i="1"/>
  <c r="J124" i="1"/>
  <c r="K124" i="1"/>
  <c r="J123" i="1"/>
  <c r="L123" i="1"/>
  <c r="N123" i="1"/>
  <c r="P123" i="1"/>
  <c r="P124" i="1"/>
  <c r="Q124" i="1"/>
  <c r="R124" i="1"/>
  <c r="S124" i="1"/>
  <c r="R123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R134" i="1"/>
  <c r="S134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D147" i="1"/>
  <c r="F147" i="1"/>
  <c r="H147" i="1"/>
  <c r="H148" i="1"/>
  <c r="I148" i="1"/>
  <c r="J148" i="1"/>
  <c r="K148" i="1"/>
  <c r="J147" i="1"/>
  <c r="L147" i="1"/>
  <c r="N147" i="1"/>
  <c r="P147" i="1"/>
  <c r="P148" i="1"/>
  <c r="Q148" i="1"/>
  <c r="R148" i="1"/>
  <c r="S148" i="1"/>
  <c r="R147" i="1"/>
  <c r="D149" i="1"/>
  <c r="E149" i="1"/>
  <c r="F149" i="1"/>
  <c r="G149" i="1"/>
  <c r="H149" i="1"/>
  <c r="I149" i="1"/>
  <c r="J149" i="1"/>
  <c r="K149" i="1" s="1"/>
  <c r="L149" i="1"/>
  <c r="M149" i="1"/>
  <c r="N149" i="1"/>
  <c r="O149" i="1"/>
  <c r="P149" i="1"/>
  <c r="Q149" i="1"/>
  <c r="R149" i="1"/>
  <c r="S149" i="1" s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G158" i="1"/>
  <c r="N158" i="1"/>
  <c r="P158" i="1"/>
  <c r="Q158" i="1"/>
  <c r="E159" i="1"/>
  <c r="F159" i="1"/>
  <c r="L159" i="1"/>
  <c r="N159" i="1"/>
  <c r="Q159" i="1"/>
  <c r="R159" i="1"/>
  <c r="D160" i="1"/>
  <c r="E160" i="1"/>
  <c r="I160" i="1"/>
  <c r="M160" i="1"/>
  <c r="N160" i="1"/>
  <c r="P160" i="1"/>
  <c r="Q160" i="1"/>
  <c r="D161" i="1"/>
  <c r="L161" i="1"/>
  <c r="P161" i="1"/>
  <c r="Q161" i="1"/>
  <c r="R161" i="1"/>
  <c r="G162" i="1"/>
  <c r="I162" i="1"/>
  <c r="N162" i="1"/>
  <c r="P162" i="1"/>
  <c r="Q162" i="1"/>
  <c r="H163" i="1"/>
  <c r="I163" i="1"/>
  <c r="L163" i="1"/>
  <c r="N163" i="1"/>
  <c r="Q163" i="1"/>
  <c r="R163" i="1"/>
  <c r="D164" i="1"/>
  <c r="H164" i="1"/>
  <c r="L164" i="1"/>
  <c r="N164" i="1"/>
  <c r="P164" i="1"/>
  <c r="Q164" i="1"/>
  <c r="G165" i="1"/>
  <c r="H165" i="1"/>
  <c r="I165" i="1"/>
  <c r="L165" i="1"/>
  <c r="M165" i="1"/>
  <c r="Q165" i="1"/>
  <c r="R165" i="1"/>
  <c r="F166" i="1"/>
  <c r="M166" i="1"/>
  <c r="N166" i="1"/>
  <c r="P166" i="1"/>
  <c r="Q166" i="1"/>
  <c r="D168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D44" i="1"/>
  <c r="E44" i="1"/>
  <c r="F44" i="1"/>
  <c r="G44" i="1"/>
  <c r="D84" i="1"/>
  <c r="E84" i="1" s="1"/>
  <c r="F84" i="1"/>
  <c r="G84" i="1" s="1"/>
  <c r="H84" i="1" s="1"/>
  <c r="I84" i="1" s="1"/>
  <c r="J84" i="1" s="1"/>
  <c r="K84" i="1"/>
  <c r="L84" i="1"/>
  <c r="M84" i="1" s="1"/>
  <c r="N84" i="1" s="1"/>
  <c r="O84" i="1" s="1"/>
  <c r="P84" i="1" s="1"/>
  <c r="Q84" i="1" s="1"/>
  <c r="R84" i="1" s="1"/>
  <c r="S84" i="1" s="1"/>
  <c r="L148" i="1"/>
  <c r="M148" i="1"/>
  <c r="N148" i="1"/>
  <c r="O148" i="1"/>
  <c r="D61" i="1"/>
  <c r="D62" i="1"/>
  <c r="E62" i="1"/>
  <c r="F62" i="1" s="1"/>
  <c r="G62" i="1"/>
  <c r="P44" i="1"/>
  <c r="Q44" i="1"/>
  <c r="R44" i="1"/>
  <c r="S44" i="1"/>
  <c r="D96" i="1"/>
  <c r="E96" i="1"/>
  <c r="F96" i="1" s="1"/>
  <c r="G96" i="1" s="1"/>
  <c r="H96" i="1" s="1"/>
  <c r="I96" i="1" s="1"/>
  <c r="J96" i="1" s="1"/>
  <c r="K96" i="1" s="1"/>
  <c r="L96" i="1" s="1"/>
  <c r="M96" i="1" s="1"/>
  <c r="N96" i="1" s="1"/>
  <c r="O96" i="1" s="1"/>
  <c r="P96" i="1" s="1"/>
  <c r="Q96" i="1" s="1"/>
  <c r="R96" i="1" s="1"/>
  <c r="S96" i="1" s="1"/>
  <c r="G14" i="2"/>
  <c r="D107" i="1"/>
  <c r="E107" i="1"/>
  <c r="F107" i="1"/>
  <c r="G107" i="1" s="1"/>
  <c r="H107" i="1" s="1"/>
  <c r="I107" i="1"/>
  <c r="J107" i="1" s="1"/>
  <c r="K107" i="1" s="1"/>
  <c r="L107" i="1" s="1"/>
  <c r="M107" i="1" s="1"/>
  <c r="N107" i="1" s="1"/>
  <c r="O107" i="1" s="1"/>
  <c r="P107" i="1" s="1"/>
  <c r="Q107" i="1" s="1"/>
  <c r="R107" i="1" s="1"/>
  <c r="S107" i="1" s="1"/>
  <c r="D80" i="1"/>
  <c r="E80" i="1"/>
  <c r="F80" i="1" s="1"/>
  <c r="G80" i="1" s="1"/>
  <c r="H80" i="1" s="1"/>
  <c r="I80" i="1" s="1"/>
  <c r="J80" i="1" s="1"/>
  <c r="K80" i="1"/>
  <c r="L80" i="1" s="1"/>
  <c r="M80" i="1" s="1"/>
  <c r="N80" i="1" s="1"/>
  <c r="O80" i="1" s="1"/>
  <c r="P80" i="1" s="1"/>
  <c r="Q80" i="1" s="1"/>
  <c r="R80" i="1" s="1"/>
  <c r="S80" i="1" s="1"/>
  <c r="G7" i="2"/>
  <c r="H70" i="1"/>
  <c r="K165" i="1"/>
  <c r="J161" i="1"/>
  <c r="E158" i="1"/>
  <c r="D110" i="1"/>
  <c r="E110" i="1"/>
  <c r="F110" i="1" s="1"/>
  <c r="G110" i="1"/>
  <c r="H110" i="1"/>
  <c r="I110" i="1" s="1"/>
  <c r="J110" i="1" s="1"/>
  <c r="K110" i="1" s="1"/>
  <c r="L110" i="1" s="1"/>
  <c r="M110" i="1" s="1"/>
  <c r="N110" i="1" s="1"/>
  <c r="O110" i="1" s="1"/>
  <c r="P110" i="1" s="1"/>
  <c r="Q110" i="1" s="1"/>
  <c r="R110" i="1" s="1"/>
  <c r="S110" i="1" s="1"/>
  <c r="D102" i="1"/>
  <c r="E102" i="1" s="1"/>
  <c r="F102" i="1" s="1"/>
  <c r="G102" i="1" s="1"/>
  <c r="H102" i="1" s="1"/>
  <c r="I102" i="1"/>
  <c r="J102" i="1" s="1"/>
  <c r="K102" i="1"/>
  <c r="L102" i="1" s="1"/>
  <c r="M102" i="1" s="1"/>
  <c r="N102" i="1" s="1"/>
  <c r="O102" i="1" s="1"/>
  <c r="P102" i="1" s="1"/>
  <c r="Q102" i="1" s="1"/>
  <c r="R102" i="1" s="1"/>
  <c r="S102" i="1" s="1"/>
  <c r="D92" i="1"/>
  <c r="E92" i="1" s="1"/>
  <c r="F92" i="1" s="1"/>
  <c r="G92" i="1" s="1"/>
  <c r="H92" i="1" s="1"/>
  <c r="I92" i="1" s="1"/>
  <c r="J92" i="1" s="1"/>
  <c r="K92" i="1" s="1"/>
  <c r="L92" i="1" s="1"/>
  <c r="M92" i="1" s="1"/>
  <c r="N92" i="1" s="1"/>
  <c r="O92" i="1" s="1"/>
  <c r="P92" i="1" s="1"/>
  <c r="Q92" i="1" s="1"/>
  <c r="R92" i="1" s="1"/>
  <c r="S92" i="1" s="1"/>
  <c r="D155" i="1"/>
  <c r="E155" i="1"/>
  <c r="F155" i="1" s="1"/>
  <c r="G155" i="1" s="1"/>
  <c r="H155" i="1" s="1"/>
  <c r="I155" i="1" s="1"/>
  <c r="J155" i="1" s="1"/>
  <c r="K155" i="1" s="1"/>
  <c r="L155" i="1" s="1"/>
  <c r="M155" i="1" s="1"/>
  <c r="N155" i="1" s="1"/>
  <c r="O155" i="1" s="1"/>
  <c r="P155" i="1" s="1"/>
  <c r="Q155" i="1" s="1"/>
  <c r="R155" i="1" s="1"/>
  <c r="S155" i="1" s="1"/>
  <c r="D100" i="1"/>
  <c r="E100" i="1" s="1"/>
  <c r="F100" i="1" s="1"/>
  <c r="G100" i="1" s="1"/>
  <c r="H100" i="1" s="1"/>
  <c r="I100" i="1" s="1"/>
  <c r="J100" i="1" s="1"/>
  <c r="K100" i="1" s="1"/>
  <c r="L100" i="1" s="1"/>
  <c r="M100" i="1" s="1"/>
  <c r="N100" i="1" s="1"/>
  <c r="O100" i="1" s="1"/>
  <c r="P100" i="1" s="1"/>
  <c r="Q100" i="1" s="1"/>
  <c r="R100" i="1" s="1"/>
  <c r="S100" i="1" s="1"/>
  <c r="D101" i="1"/>
  <c r="E101" i="1" s="1"/>
  <c r="F101" i="1" s="1"/>
  <c r="G101" i="1" s="1"/>
  <c r="H101" i="1" s="1"/>
  <c r="I101" i="1" s="1"/>
  <c r="J101" i="1" s="1"/>
  <c r="K101" i="1" s="1"/>
  <c r="L101" i="1" s="1"/>
  <c r="M101" i="1" s="1"/>
  <c r="N101" i="1" s="1"/>
  <c r="O101" i="1" s="1"/>
  <c r="P101" i="1" s="1"/>
  <c r="Q101" i="1" s="1"/>
  <c r="R101" i="1" s="1"/>
  <c r="S101" i="1" s="1"/>
  <c r="D154" i="1"/>
  <c r="E154" i="1"/>
  <c r="F154" i="1"/>
  <c r="G154" i="1"/>
  <c r="H154" i="1" s="1"/>
  <c r="I154" i="1" s="1"/>
  <c r="J154" i="1" s="1"/>
  <c r="K154" i="1" s="1"/>
  <c r="L154" i="1" s="1"/>
  <c r="M154" i="1" s="1"/>
  <c r="N154" i="1" s="1"/>
  <c r="O154" i="1" s="1"/>
  <c r="P154" i="1" s="1"/>
  <c r="Q154" i="1" s="1"/>
  <c r="R154" i="1" s="1"/>
  <c r="S154" i="1" s="1"/>
  <c r="D93" i="1"/>
  <c r="E93" i="1"/>
  <c r="F93" i="1" s="1"/>
  <c r="G93" i="1" s="1"/>
  <c r="H93" i="1" s="1"/>
  <c r="I93" i="1" s="1"/>
  <c r="J93" i="1" s="1"/>
  <c r="K93" i="1" s="1"/>
  <c r="L93" i="1" s="1"/>
  <c r="M93" i="1" s="1"/>
  <c r="N93" i="1" s="1"/>
  <c r="O93" i="1" s="1"/>
  <c r="P93" i="1" s="1"/>
  <c r="Q93" i="1" s="1"/>
  <c r="R93" i="1" s="1"/>
  <c r="S93" i="1" s="1"/>
  <c r="I118" i="1"/>
  <c r="J118" i="1"/>
  <c r="K118" i="1"/>
  <c r="Q118" i="1"/>
  <c r="R118" i="1" s="1"/>
  <c r="S118" i="1" s="1"/>
  <c r="G17" i="2"/>
  <c r="D152" i="1"/>
  <c r="E152" i="1"/>
  <c r="F152" i="1"/>
  <c r="G152" i="1" s="1"/>
  <c r="H152" i="1" s="1"/>
  <c r="I152" i="1" s="1"/>
  <c r="J152" i="1" s="1"/>
  <c r="K152" i="1" s="1"/>
  <c r="L152" i="1" s="1"/>
  <c r="M152" i="1" s="1"/>
  <c r="N152" i="1" s="1"/>
  <c r="O152" i="1" s="1"/>
  <c r="P152" i="1" s="1"/>
  <c r="Q152" i="1" s="1"/>
  <c r="R152" i="1" s="1"/>
  <c r="S152" i="1" s="1"/>
  <c r="D79" i="1"/>
  <c r="E79" i="1"/>
  <c r="F79" i="1"/>
  <c r="G79" i="1"/>
  <c r="H79" i="1" s="1"/>
  <c r="I79" i="1" s="1"/>
  <c r="J79" i="1" s="1"/>
  <c r="K79" i="1" s="1"/>
  <c r="L79" i="1" s="1"/>
  <c r="M79" i="1" s="1"/>
  <c r="N79" i="1" s="1"/>
  <c r="O79" i="1" s="1"/>
  <c r="P79" i="1" s="1"/>
  <c r="Q79" i="1" s="1"/>
  <c r="R79" i="1" s="1"/>
  <c r="S79" i="1" s="1"/>
  <c r="D112" i="1"/>
  <c r="E112" i="1"/>
  <c r="F112" i="1"/>
  <c r="G112" i="1"/>
  <c r="H112" i="1"/>
  <c r="I112" i="1" s="1"/>
  <c r="J112" i="1" s="1"/>
  <c r="K112" i="1" s="1"/>
  <c r="L112" i="1" s="1"/>
  <c r="M112" i="1" s="1"/>
  <c r="N112" i="1" s="1"/>
  <c r="O112" i="1" s="1"/>
  <c r="P112" i="1" s="1"/>
  <c r="Q112" i="1" s="1"/>
  <c r="R112" i="1" s="1"/>
  <c r="S112" i="1" s="1"/>
  <c r="D129" i="1"/>
  <c r="E129" i="1"/>
  <c r="F129" i="1" s="1"/>
  <c r="G129" i="1" s="1"/>
  <c r="H129" i="1" s="1"/>
  <c r="I129" i="1" s="1"/>
  <c r="J129" i="1" s="1"/>
  <c r="K129" i="1" s="1"/>
  <c r="L129" i="1" s="1"/>
  <c r="M129" i="1" s="1"/>
  <c r="N129" i="1" s="1"/>
  <c r="O129" i="1" s="1"/>
  <c r="P129" i="1" s="1"/>
  <c r="Q129" i="1" s="1"/>
  <c r="R129" i="1" s="1"/>
  <c r="S129" i="1" s="1"/>
  <c r="L124" i="1"/>
  <c r="M124" i="1"/>
  <c r="N124" i="1"/>
  <c r="O124" i="1"/>
  <c r="J159" i="1"/>
  <c r="J46" i="1"/>
  <c r="H158" i="1"/>
  <c r="D109" i="1"/>
  <c r="E109" i="1" s="1"/>
  <c r="F109" i="1"/>
  <c r="G109" i="1"/>
  <c r="H109" i="1"/>
  <c r="I109" i="1" s="1"/>
  <c r="J109" i="1" s="1"/>
  <c r="K109" i="1" s="1"/>
  <c r="L109" i="1" s="1"/>
  <c r="M109" i="1" s="1"/>
  <c r="N109" i="1" s="1"/>
  <c r="O109" i="1" s="1"/>
  <c r="P109" i="1" s="1"/>
  <c r="Q109" i="1" s="1"/>
  <c r="R109" i="1" s="1"/>
  <c r="S109" i="1" s="1"/>
  <c r="D166" i="1"/>
  <c r="P70" i="1"/>
  <c r="P49" i="1"/>
  <c r="F58" i="1"/>
  <c r="J70" i="1"/>
  <c r="H71" i="1"/>
  <c r="I71" i="1" s="1"/>
  <c r="J71" i="1" s="1"/>
  <c r="K71" i="1" s="1"/>
  <c r="H58" i="1"/>
  <c r="H59" i="1" s="1"/>
  <c r="I59" i="1" s="1"/>
  <c r="J163" i="1"/>
  <c r="J55" i="1"/>
  <c r="H160" i="1"/>
  <c r="H159" i="1"/>
  <c r="R67" i="1"/>
  <c r="R64" i="1"/>
  <c r="R46" i="1"/>
  <c r="F52" i="1"/>
  <c r="D53" i="1"/>
  <c r="E53" i="1"/>
  <c r="F53" i="1" s="1"/>
  <c r="G53" i="1" s="1"/>
  <c r="D162" i="1"/>
  <c r="H52" i="1"/>
  <c r="H53" i="1"/>
  <c r="I53" i="1" s="1"/>
  <c r="J53" i="1"/>
  <c r="K53" i="1"/>
  <c r="J165" i="1"/>
  <c r="H49" i="1"/>
  <c r="H50" i="1" s="1"/>
  <c r="I50" i="1" s="1"/>
  <c r="J50" i="1"/>
  <c r="K50" i="1" s="1"/>
  <c r="D165" i="1"/>
  <c r="E164" i="1"/>
  <c r="F162" i="1"/>
  <c r="N161" i="1"/>
  <c r="L158" i="1"/>
  <c r="N64" i="1"/>
  <c r="N52" i="1"/>
  <c r="G160" i="1"/>
  <c r="L52" i="1"/>
  <c r="L53" i="1"/>
  <c r="M53" i="1"/>
  <c r="N53" i="1"/>
  <c r="O53" i="1" s="1"/>
  <c r="H67" i="1"/>
  <c r="D159" i="1"/>
  <c r="D70" i="1"/>
  <c r="D64" i="1"/>
  <c r="D65" i="1" s="1"/>
  <c r="E65" i="1" s="1"/>
  <c r="F65" i="1" s="1"/>
  <c r="G65" i="1" s="1"/>
  <c r="R58" i="1"/>
  <c r="J64" i="1"/>
  <c r="P61" i="1"/>
  <c r="D67" i="1"/>
  <c r="P163" i="1"/>
  <c r="R162" i="1"/>
  <c r="H161" i="1"/>
  <c r="P159" i="1"/>
  <c r="F55" i="1"/>
  <c r="E165" i="1"/>
  <c r="G159" i="1"/>
  <c r="J164" i="1"/>
  <c r="L46" i="1"/>
  <c r="L47" i="1"/>
  <c r="M47" i="1" s="1"/>
  <c r="N47" i="1" s="1"/>
  <c r="O47" i="1" s="1"/>
  <c r="M162" i="1"/>
  <c r="L70" i="1"/>
  <c r="L71" i="1" s="1"/>
  <c r="M71" i="1" s="1"/>
  <c r="N71" i="1" s="1"/>
  <c r="O71" i="1" s="1"/>
  <c r="R55" i="1"/>
  <c r="P67" i="1"/>
  <c r="L166" i="1"/>
  <c r="R52" i="1"/>
  <c r="J61" i="1"/>
  <c r="F61" i="1"/>
  <c r="F158" i="1"/>
  <c r="L49" i="1"/>
  <c r="L50" i="1" s="1"/>
  <c r="M50" i="1" s="1"/>
  <c r="N50" i="1" s="1"/>
  <c r="O50" i="1" s="1"/>
  <c r="L55" i="1"/>
  <c r="L56" i="1"/>
  <c r="M56" i="1"/>
  <c r="N56" i="1" s="1"/>
  <c r="O56" i="1"/>
  <c r="L64" i="1"/>
  <c r="L65" i="1"/>
  <c r="M65" i="1"/>
  <c r="N65" i="1" s="1"/>
  <c r="O65" i="1" s="1"/>
  <c r="R166" i="1"/>
  <c r="R164" i="1"/>
  <c r="M161" i="1"/>
  <c r="R160" i="1"/>
  <c r="M159" i="1"/>
  <c r="R158" i="1"/>
  <c r="D56" i="1"/>
  <c r="E56" i="1"/>
  <c r="F56" i="1"/>
  <c r="G56" i="1" s="1"/>
  <c r="J67" i="1"/>
  <c r="H68" i="1"/>
  <c r="I68" i="1"/>
  <c r="J68" i="1"/>
  <c r="K68" i="1" s="1"/>
  <c r="N165" i="1"/>
  <c r="P59" i="1"/>
  <c r="Q59" i="1" s="1"/>
  <c r="R59" i="1"/>
  <c r="S59" i="1"/>
  <c r="R49" i="1"/>
  <c r="P50" i="1"/>
  <c r="Q50" i="1" s="1"/>
  <c r="R50" i="1" s="1"/>
  <c r="S50" i="1"/>
  <c r="D49" i="1"/>
  <c r="F67" i="1"/>
  <c r="H46" i="1"/>
  <c r="D68" i="1"/>
  <c r="E68" i="1"/>
  <c r="F68" i="1" s="1"/>
  <c r="G68" i="1" s="1"/>
  <c r="N67" i="1"/>
  <c r="M68" i="1"/>
  <c r="N68" i="1"/>
  <c r="O68" i="1"/>
  <c r="P68" i="1"/>
  <c r="Q68" i="1" s="1"/>
  <c r="R68" i="1" s="1"/>
  <c r="S68" i="1"/>
  <c r="L44" i="1"/>
  <c r="M44" i="1"/>
  <c r="N44" i="1"/>
  <c r="O44" i="1"/>
  <c r="P55" i="1"/>
  <c r="P56" i="1" s="1"/>
  <c r="Q56" i="1" s="1"/>
  <c r="R56" i="1"/>
  <c r="S56" i="1" s="1"/>
  <c r="D148" i="1"/>
  <c r="E148" i="1"/>
  <c r="F148" i="1"/>
  <c r="G148" i="1"/>
  <c r="D58" i="1"/>
  <c r="D59" i="1" s="1"/>
  <c r="E59" i="1" s="1"/>
  <c r="P71" i="1"/>
  <c r="Q71" i="1"/>
  <c r="R71" i="1"/>
  <c r="S71" i="1" s="1"/>
  <c r="H61" i="1"/>
  <c r="H62" i="1"/>
  <c r="I62" i="1" s="1"/>
  <c r="J62" i="1"/>
  <c r="K62" i="1"/>
  <c r="N49" i="1"/>
  <c r="L58" i="1"/>
  <c r="R61" i="1"/>
  <c r="P62" i="1"/>
  <c r="Q62" i="1"/>
  <c r="R62" i="1"/>
  <c r="S62" i="1" s="1"/>
  <c r="E161" i="1"/>
  <c r="K160" i="1"/>
  <c r="D124" i="1"/>
  <c r="E124" i="1"/>
  <c r="F124" i="1"/>
  <c r="G124" i="1"/>
  <c r="D46" i="1"/>
  <c r="D47" i="1" s="1"/>
  <c r="E47" i="1" s="1"/>
  <c r="F47" i="1" s="1"/>
  <c r="G47" i="1" s="1"/>
  <c r="F46" i="1"/>
  <c r="P65" i="1"/>
  <c r="Q65" i="1"/>
  <c r="R65" i="1" s="1"/>
  <c r="S65" i="1"/>
  <c r="P47" i="1"/>
  <c r="Q47" i="1" s="1"/>
  <c r="R47" i="1" s="1"/>
  <c r="S47" i="1" s="1"/>
  <c r="P86" i="1"/>
  <c r="Q86" i="1"/>
  <c r="R86" i="1" s="1"/>
  <c r="S86" i="1" s="1"/>
  <c r="L86" i="1"/>
  <c r="M86" i="1"/>
  <c r="N86" i="1"/>
  <c r="O86" i="1" s="1"/>
  <c r="H86" i="1"/>
  <c r="I86" i="1"/>
  <c r="J86" i="1" s="1"/>
  <c r="K86" i="1"/>
  <c r="D86" i="1"/>
  <c r="E86" i="1" s="1"/>
  <c r="F86" i="1" s="1"/>
  <c r="G86" i="1" s="1"/>
  <c r="P8" i="2"/>
  <c r="L162" i="1"/>
  <c r="N58" i="1"/>
  <c r="L59" i="1"/>
  <c r="M59" i="1"/>
  <c r="N59" i="1"/>
  <c r="O59" i="1" s="1"/>
  <c r="F59" i="1"/>
  <c r="G59" i="1" s="1"/>
  <c r="L61" i="1"/>
  <c r="N61" i="1"/>
  <c r="M163" i="1"/>
  <c r="D158" i="1"/>
  <c r="P106" i="1"/>
  <c r="Q106" i="1" s="1"/>
  <c r="R106" i="1" s="1"/>
  <c r="S106" i="1" s="1"/>
  <c r="D106" i="1"/>
  <c r="E106" i="1"/>
  <c r="F106" i="1"/>
  <c r="G106" i="1" s="1"/>
  <c r="F70" i="1"/>
  <c r="D71" i="1"/>
  <c r="E71" i="1" s="1"/>
  <c r="F71" i="1"/>
  <c r="G71" i="1"/>
  <c r="H56" i="1"/>
  <c r="I56" i="1"/>
  <c r="J56" i="1" s="1"/>
  <c r="K56" i="1" s="1"/>
  <c r="H47" i="1"/>
  <c r="I47" i="1" s="1"/>
  <c r="J47" i="1"/>
  <c r="K47" i="1" s="1"/>
  <c r="P15" i="2"/>
  <c r="P114" i="1"/>
  <c r="Q114" i="1" s="1"/>
  <c r="R114" i="1" s="1"/>
  <c r="S114" i="1"/>
  <c r="D114" i="1"/>
  <c r="E114" i="1" s="1"/>
  <c r="F114" i="1" s="1"/>
  <c r="G114" i="1" s="1"/>
  <c r="J58" i="1"/>
  <c r="J59" i="1"/>
  <c r="K59" i="1" s="1"/>
  <c r="D97" i="1"/>
  <c r="E97" i="1"/>
  <c r="F97" i="1" s="1"/>
  <c r="G97" i="1" s="1"/>
  <c r="H90" i="1"/>
  <c r="I90" i="1"/>
  <c r="J90" i="1"/>
  <c r="K90" i="1" s="1"/>
  <c r="H130" i="1"/>
  <c r="I130" i="1"/>
  <c r="J130" i="1"/>
  <c r="K130" i="1" s="1"/>
  <c r="L130" i="1"/>
  <c r="M130" i="1"/>
  <c r="N130" i="1"/>
  <c r="O130" i="1" s="1"/>
  <c r="F49" i="1"/>
  <c r="L97" i="1"/>
  <c r="M97" i="1"/>
  <c r="N97" i="1"/>
  <c r="O97" i="1" s="1"/>
  <c r="P90" i="1"/>
  <c r="Q90" i="1"/>
  <c r="R90" i="1" s="1"/>
  <c r="S90" i="1"/>
  <c r="H120" i="1"/>
  <c r="I120" i="1"/>
  <c r="J120" i="1"/>
  <c r="K120" i="1" s="1"/>
  <c r="P9" i="2"/>
  <c r="P97" i="1"/>
  <c r="Q97" i="1" s="1"/>
  <c r="R97" i="1" s="1"/>
  <c r="S97" i="1" s="1"/>
  <c r="D118" i="1"/>
  <c r="E118" i="1" s="1"/>
  <c r="F118" i="1"/>
  <c r="G118" i="1"/>
  <c r="H131" i="1"/>
  <c r="I131" i="1" s="1"/>
  <c r="J131" i="1" s="1"/>
  <c r="K131" i="1" s="1"/>
  <c r="L118" i="1"/>
  <c r="M118" i="1" s="1"/>
  <c r="N118" i="1"/>
  <c r="O118" i="1"/>
  <c r="H125" i="1"/>
  <c r="I125" i="1"/>
  <c r="J125" i="1" s="1"/>
  <c r="K125" i="1" s="1"/>
  <c r="L62" i="1"/>
  <c r="M62" i="1"/>
  <c r="N62" i="1" s="1"/>
  <c r="O62" i="1" s="1"/>
  <c r="D50" i="1"/>
  <c r="E50" i="1"/>
  <c r="F50" i="1" s="1"/>
  <c r="G50" i="1" s="1"/>
  <c r="H113" i="1"/>
  <c r="I113" i="1"/>
  <c r="J113" i="1" s="1"/>
  <c r="K113" i="1" s="1"/>
  <c r="D113" i="1"/>
  <c r="E113" i="1"/>
  <c r="F113" i="1" s="1"/>
  <c r="G113" i="1" s="1"/>
  <c r="P113" i="1"/>
  <c r="Q113" i="1"/>
  <c r="R113" i="1" s="1"/>
  <c r="S113" i="1" s="1"/>
  <c r="L113" i="1"/>
  <c r="M113" i="1"/>
  <c r="N113" i="1"/>
  <c r="O113" i="1"/>
  <c r="D85" i="1"/>
  <c r="E85" i="1"/>
  <c r="F85" i="1" s="1"/>
  <c r="G85" i="1" s="1"/>
  <c r="L85" i="1"/>
  <c r="M85" i="1"/>
  <c r="N85" i="1"/>
  <c r="O85" i="1"/>
  <c r="H85" i="1"/>
  <c r="I85" i="1"/>
  <c r="J85" i="1" s="1"/>
  <c r="K85" i="1" s="1"/>
  <c r="P85" i="1"/>
  <c r="Q85" i="1"/>
  <c r="R85" i="1"/>
  <c r="S85" i="1"/>
  <c r="L89" i="1"/>
  <c r="M89" i="1"/>
  <c r="N89" i="1" s="1"/>
  <c r="O89" i="1" s="1"/>
  <c r="P89" i="1"/>
  <c r="Q89" i="1"/>
  <c r="R89" i="1" s="1"/>
  <c r="S89" i="1" s="1"/>
  <c r="H89" i="1"/>
  <c r="I89" i="1"/>
  <c r="J89" i="1" s="1"/>
  <c r="K89" i="1" s="1"/>
  <c r="D89" i="1"/>
  <c r="E89" i="1"/>
  <c r="F89" i="1"/>
  <c r="G89" i="1"/>
  <c r="H106" i="1" l="1"/>
  <c r="I106" i="1" s="1"/>
  <c r="J106" i="1" s="1"/>
  <c r="K106" i="1" s="1"/>
  <c r="L106" i="1"/>
  <c r="M106" i="1" s="1"/>
  <c r="N106" i="1" s="1"/>
  <c r="O106" i="1" s="1"/>
  <c r="P13" i="2"/>
  <c r="L114" i="1"/>
  <c r="M114" i="1" s="1"/>
  <c r="N114" i="1" s="1"/>
  <c r="O114" i="1" s="1"/>
  <c r="H114" i="1"/>
  <c r="I114" i="1" s="1"/>
  <c r="J114" i="1" s="1"/>
  <c r="K114" i="1" s="1"/>
  <c r="L78" i="1"/>
  <c r="M78" i="1" s="1"/>
  <c r="N78" i="1" s="1"/>
  <c r="O78" i="1" s="1"/>
  <c r="H78" i="1"/>
  <c r="I78" i="1" s="1"/>
  <c r="J78" i="1" s="1"/>
  <c r="K78" i="1" s="1"/>
  <c r="D78" i="1"/>
  <c r="E78" i="1" s="1"/>
  <c r="F78" i="1" s="1"/>
  <c r="G78" i="1" s="1"/>
  <c r="P78" i="1"/>
  <c r="Q78" i="1" s="1"/>
  <c r="R78" i="1" s="1"/>
  <c r="S78" i="1" s="1"/>
  <c r="P6" i="2"/>
  <c r="D82" i="1"/>
  <c r="E82" i="1" s="1"/>
  <c r="F82" i="1" s="1"/>
  <c r="G82" i="1" s="1"/>
  <c r="L82" i="1"/>
  <c r="M82" i="1" s="1"/>
  <c r="N82" i="1" s="1"/>
  <c r="O82" i="1" s="1"/>
  <c r="P7" i="2"/>
  <c r="L90" i="1"/>
  <c r="M90" i="1" s="1"/>
  <c r="N90" i="1" s="1"/>
  <c r="O90" i="1" s="1"/>
  <c r="P130" i="1"/>
  <c r="Q130" i="1" s="1"/>
  <c r="R130" i="1" s="1"/>
  <c r="S130" i="1" s="1"/>
  <c r="P120" i="1"/>
  <c r="Q120" i="1" s="1"/>
  <c r="R120" i="1" s="1"/>
  <c r="S120" i="1" s="1"/>
  <c r="D125" i="1"/>
  <c r="E125" i="1" s="1"/>
  <c r="F125" i="1" s="1"/>
  <c r="G125" i="1" s="1"/>
  <c r="O16" i="2"/>
  <c r="P16" i="2" s="1"/>
  <c r="D131" i="1"/>
  <c r="E131" i="1" s="1"/>
  <c r="F131" i="1" s="1"/>
  <c r="G131" i="1" s="1"/>
  <c r="P125" i="1"/>
  <c r="Q125" i="1" s="1"/>
  <c r="R125" i="1" s="1"/>
  <c r="S125" i="1" s="1"/>
  <c r="P81" i="1" l="1"/>
  <c r="Q81" i="1" s="1"/>
  <c r="R81" i="1" s="1"/>
  <c r="S81" i="1" s="1"/>
  <c r="H81" i="1"/>
  <c r="I81" i="1" s="1"/>
  <c r="J81" i="1" s="1"/>
  <c r="K81" i="1" s="1"/>
  <c r="D81" i="1"/>
  <c r="E81" i="1" s="1"/>
  <c r="F81" i="1" s="1"/>
  <c r="G81" i="1" s="1"/>
  <c r="L81" i="1"/>
  <c r="M81" i="1" s="1"/>
  <c r="N81" i="1" s="1"/>
  <c r="O81" i="1" s="1"/>
  <c r="H105" i="1"/>
  <c r="I105" i="1" s="1"/>
  <c r="J105" i="1" s="1"/>
  <c r="K105" i="1" s="1"/>
  <c r="L105" i="1"/>
  <c r="M105" i="1" s="1"/>
  <c r="N105" i="1" s="1"/>
  <c r="O105" i="1" s="1"/>
  <c r="D105" i="1"/>
  <c r="E105" i="1" s="1"/>
  <c r="F105" i="1" s="1"/>
  <c r="G105" i="1" s="1"/>
  <c r="P105" i="1"/>
  <c r="Q105" i="1" s="1"/>
  <c r="R105" i="1" s="1"/>
  <c r="S105" i="1" s="1"/>
  <c r="P77" i="1"/>
  <c r="Q77" i="1" s="1"/>
  <c r="R77" i="1" s="1"/>
  <c r="S77" i="1" s="1"/>
  <c r="L77" i="1"/>
  <c r="M77" i="1" s="1"/>
  <c r="N77" i="1" s="1"/>
  <c r="O77" i="1" s="1"/>
  <c r="H77" i="1"/>
  <c r="I77" i="1" s="1"/>
  <c r="J77" i="1" s="1"/>
  <c r="K77" i="1" s="1"/>
  <c r="D77" i="1"/>
  <c r="E77" i="1" s="1"/>
  <c r="F77" i="1" s="1"/>
  <c r="G77" i="1" s="1"/>
</calcChain>
</file>

<file path=xl/sharedStrings.xml><?xml version="1.0" encoding="utf-8"?>
<sst xmlns="http://schemas.openxmlformats.org/spreadsheetml/2006/main" count="145" uniqueCount="82">
  <si>
    <t>Date</t>
  </si>
  <si>
    <t>JMF</t>
  </si>
  <si>
    <t>3/4" (19.0mm)</t>
  </si>
  <si>
    <t>1/2" (12.5mm)</t>
  </si>
  <si>
    <t>3/8" (9.5mm)</t>
  </si>
  <si>
    <t>#4 (4.75mm)</t>
  </si>
  <si>
    <t>#8 (2.36mm)</t>
  </si>
  <si>
    <t>#16 (1.18mm)</t>
  </si>
  <si>
    <t>#30 (600 mm)</t>
  </si>
  <si>
    <t>#50 (300 mm)</t>
  </si>
  <si>
    <t>#100 (150 mm)</t>
  </si>
  <si>
    <t>#200 (75mm)</t>
  </si>
  <si>
    <t>A.C. Content</t>
  </si>
  <si>
    <t>B.S.G.</t>
  </si>
  <si>
    <t>Stability</t>
  </si>
  <si>
    <t>Flow</t>
  </si>
  <si>
    <t>Mix Temperature</t>
  </si>
  <si>
    <t>Action Limit</t>
  </si>
  <si>
    <t>Lower</t>
  </si>
  <si>
    <t>Upper</t>
  </si>
  <si>
    <t>Suspension Limit</t>
  </si>
  <si>
    <t>Factor</t>
  </si>
  <si>
    <t>Sublot</t>
  </si>
  <si>
    <t>N=</t>
  </si>
  <si>
    <t>Mat Density</t>
  </si>
  <si>
    <t>Joint Density</t>
  </si>
  <si>
    <t>Agg. Moisture</t>
  </si>
  <si>
    <t>Mix Moisture</t>
  </si>
  <si>
    <t>N =</t>
  </si>
  <si>
    <t>Ext. / Grd.</t>
  </si>
  <si>
    <t>Gradation Range</t>
  </si>
  <si>
    <t>Gradation Individual Measurements - Upper and Lower Action and Suspension Limits</t>
  </si>
  <si>
    <t>A.C. Content Range</t>
  </si>
  <si>
    <t>A.C. Content Individual Measurements - Upper and Lower Action and Suspension Limits</t>
  </si>
  <si>
    <t>Stability Individual Measurements - Lower Limit</t>
  </si>
  <si>
    <t>Flow Individual Measurements - Upper and Lower Limits</t>
  </si>
  <si>
    <t>Mat Density Individual Measurements - Lower Limits</t>
  </si>
  <si>
    <t>Joint Density Individual Measurements - Lower Limits</t>
  </si>
  <si>
    <t>Mix Temperature - Range</t>
  </si>
  <si>
    <t>Mix Temperature Individual Measurements - Upper and Lower Action and Suspension Limits</t>
  </si>
  <si>
    <t>Mix Temp.</t>
  </si>
  <si>
    <t>Project:</t>
  </si>
  <si>
    <t>Contract Item:</t>
  </si>
  <si>
    <t>P-401-8.1 Asphalt Surface Course PG 67-22, Gradation 2</t>
  </si>
  <si>
    <t>1-1</t>
  </si>
  <si>
    <t>1-2</t>
  </si>
  <si>
    <t>1-3</t>
  </si>
  <si>
    <t>1-4</t>
  </si>
  <si>
    <t>Lot/Sub</t>
  </si>
  <si>
    <t>V.M.A.</t>
  </si>
  <si>
    <t>VMA Individual Measurements - Upper and Lower Action and Suspension Limits</t>
  </si>
  <si>
    <t>VMA</t>
  </si>
  <si>
    <t>Miami Executive No. V009A</t>
  </si>
  <si>
    <t>2-1</t>
  </si>
  <si>
    <t>2-2</t>
  </si>
  <si>
    <t>2-3</t>
  </si>
  <si>
    <t>2-4</t>
  </si>
  <si>
    <t>3-1</t>
  </si>
  <si>
    <t>3-2</t>
  </si>
  <si>
    <t>3-3</t>
  </si>
  <si>
    <t>3-4</t>
  </si>
  <si>
    <t>4-1</t>
  </si>
  <si>
    <t>4-2</t>
  </si>
  <si>
    <t>4-3</t>
  </si>
  <si>
    <t>4-4</t>
  </si>
  <si>
    <t>2Factor</t>
  </si>
  <si>
    <t>3Factor</t>
  </si>
  <si>
    <t>4Factor</t>
  </si>
  <si>
    <t>Lot 1</t>
  </si>
  <si>
    <t>Lot 2</t>
  </si>
  <si>
    <t>Lot 3</t>
  </si>
  <si>
    <t>Lot 4</t>
  </si>
  <si>
    <t>2Lower</t>
  </si>
  <si>
    <t>2Upper</t>
  </si>
  <si>
    <t>3Lower</t>
  </si>
  <si>
    <t>3Upper</t>
  </si>
  <si>
    <t>4Lower</t>
  </si>
  <si>
    <t>4Upper</t>
  </si>
  <si>
    <t>2Range</t>
  </si>
  <si>
    <t>3Range</t>
  </si>
  <si>
    <t>4Range</t>
  </si>
  <si>
    <t>AC Content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</si>
</sst>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0.0%"/>
    <numFmt numFmtId="167" formatCode="m/d/yy;@"/>
  </numFmts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28">
    <xf numFmtId="0" fontId="0" fillId="0" borderId="0" xfId="0"/>
    <xf numFmtId="0" fontId="0" fillId="0" borderId="0" xfId="0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4" fontId="1" fillId="0" borderId="10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2" fontId="0" fillId="0" borderId="15" xfId="0" applyNumberFormat="1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164" fontId="1" fillId="0" borderId="11" xfId="0" applyNumberFormat="1" applyFon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" fontId="1" fillId="2" borderId="21" xfId="0" applyNumberFormat="1" applyFont="1" applyFill="1" applyBorder="1" applyAlignment="1">
      <alignment horizontal="center" vertical="center"/>
    </xf>
    <xf numFmtId="1" fontId="1" fillId="2" borderId="22" xfId="0" applyNumberFormat="1" applyFont="1" applyFill="1" applyBorder="1" applyAlignment="1">
      <alignment horizontal="center" vertical="center"/>
    </xf>
    <xf numFmtId="164" fontId="1" fillId="2" borderId="23" xfId="0" applyNumberFormat="1" applyFont="1" applyFill="1" applyBorder="1" applyAlignment="1">
      <alignment horizontal="center" vertical="center"/>
    </xf>
    <xf numFmtId="164" fontId="1" fillId="2" borderId="21" xfId="0" applyNumberFormat="1" applyFont="1" applyFill="1" applyBorder="1" applyAlignment="1">
      <alignment horizontal="center" vertical="center"/>
    </xf>
    <xf numFmtId="164" fontId="1" fillId="2" borderId="22" xfId="0" applyNumberFormat="1" applyFont="1" applyFill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164" fontId="0" fillId="0" borderId="27" xfId="0" applyNumberFormat="1" applyBorder="1" applyAlignment="1">
      <alignment horizontal="center" vertical="center"/>
    </xf>
    <xf numFmtId="164" fontId="0" fillId="0" borderId="28" xfId="0" applyNumberFormat="1" applyBorder="1" applyAlignment="1">
      <alignment horizontal="center" vertical="center"/>
    </xf>
    <xf numFmtId="164" fontId="0" fillId="0" borderId="29" xfId="0" applyNumberFormat="1" applyBorder="1" applyAlignment="1">
      <alignment horizontal="center" vertical="center"/>
    </xf>
    <xf numFmtId="164" fontId="0" fillId="0" borderId="30" xfId="0" applyNumberFormat="1" applyBorder="1" applyAlignment="1">
      <alignment horizontal="center" vertical="center"/>
    </xf>
    <xf numFmtId="164" fontId="0" fillId="0" borderId="31" xfId="0" applyNumberFormat="1" applyBorder="1" applyAlignment="1">
      <alignment horizontal="center" vertical="center"/>
    </xf>
    <xf numFmtId="164" fontId="1" fillId="0" borderId="9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164" fontId="1" fillId="0" borderId="13" xfId="0" applyNumberFormat="1" applyFont="1" applyBorder="1" applyAlignment="1">
      <alignment horizontal="center" vertical="center"/>
    </xf>
    <xf numFmtId="164" fontId="1" fillId="0" borderId="15" xfId="0" applyNumberFormat="1" applyFont="1" applyBorder="1" applyAlignment="1">
      <alignment horizontal="center" vertical="center"/>
    </xf>
    <xf numFmtId="2" fontId="0" fillId="0" borderId="17" xfId="0" applyNumberFormat="1" applyBorder="1" applyAlignment="1">
      <alignment horizontal="center" vertical="center"/>
    </xf>
    <xf numFmtId="2" fontId="0" fillId="0" borderId="32" xfId="0" applyNumberFormat="1" applyBorder="1" applyAlignment="1">
      <alignment horizontal="center" vertical="center"/>
    </xf>
    <xf numFmtId="2" fontId="1" fillId="0" borderId="32" xfId="0" applyNumberFormat="1" applyFont="1" applyBorder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34" xfId="0" applyNumberFormat="1" applyBorder="1" applyAlignment="1">
      <alignment horizontal="center" vertical="center"/>
    </xf>
    <xf numFmtId="2" fontId="0" fillId="0" borderId="35" xfId="0" applyNumberFormat="1" applyBorder="1" applyAlignment="1">
      <alignment horizontal="center" vertical="center"/>
    </xf>
    <xf numFmtId="2" fontId="1" fillId="0" borderId="11" xfId="0" applyNumberFormat="1" applyFon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1" fillId="0" borderId="17" xfId="0" applyNumberFormat="1" applyFont="1" applyBorder="1" applyAlignment="1">
      <alignment horizontal="center" vertical="center"/>
    </xf>
    <xf numFmtId="2" fontId="1" fillId="2" borderId="36" xfId="0" applyNumberFormat="1" applyFont="1" applyFill="1" applyBorder="1" applyAlignment="1">
      <alignment horizontal="center" vertical="center"/>
    </xf>
    <xf numFmtId="2" fontId="1" fillId="2" borderId="37" xfId="0" applyNumberFormat="1" applyFont="1" applyFill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/>
    </xf>
    <xf numFmtId="1" fontId="0" fillId="0" borderId="34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" fontId="1" fillId="0" borderId="11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1" fillId="0" borderId="17" xfId="0" applyNumberFormat="1" applyFon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2" fontId="1" fillId="0" borderId="35" xfId="0" applyNumberFormat="1" applyFont="1" applyBorder="1" applyAlignment="1">
      <alignment horizontal="center" vertical="center"/>
    </xf>
    <xf numFmtId="1" fontId="1" fillId="2" borderId="36" xfId="0" applyNumberFormat="1" applyFont="1" applyFill="1" applyBorder="1" applyAlignment="1">
      <alignment horizontal="center" vertical="center"/>
    </xf>
    <xf numFmtId="1" fontId="1" fillId="0" borderId="35" xfId="0" applyNumberFormat="1" applyFont="1" applyBorder="1" applyAlignment="1">
      <alignment horizontal="center" vertical="center"/>
    </xf>
    <xf numFmtId="165" fontId="0" fillId="0" borderId="33" xfId="0" applyNumberFormat="1" applyBorder="1" applyAlignment="1">
      <alignment horizontal="center" vertical="center"/>
    </xf>
    <xf numFmtId="165" fontId="0" fillId="0" borderId="34" xfId="0" applyNumberFormat="1" applyBorder="1" applyAlignment="1">
      <alignment horizontal="center" vertical="center"/>
    </xf>
    <xf numFmtId="165" fontId="0" fillId="0" borderId="32" xfId="0" applyNumberFormat="1" applyBorder="1" applyAlignment="1">
      <alignment horizontal="center" vertical="center"/>
    </xf>
    <xf numFmtId="165" fontId="0" fillId="0" borderId="35" xfId="0" applyNumberFormat="1" applyBorder="1" applyAlignment="1">
      <alignment horizontal="center" vertical="center"/>
    </xf>
    <xf numFmtId="164" fontId="1" fillId="0" borderId="12" xfId="0" applyNumberFormat="1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" fontId="1" fillId="0" borderId="32" xfId="0" applyNumberFormat="1" applyFont="1" applyBorder="1" applyAlignment="1">
      <alignment horizontal="center" vertical="center"/>
    </xf>
    <xf numFmtId="164" fontId="1" fillId="2" borderId="38" xfId="0" applyNumberFormat="1" applyFont="1" applyFill="1" applyBorder="1" applyAlignment="1">
      <alignment horizontal="center" vertical="center"/>
    </xf>
    <xf numFmtId="164" fontId="1" fillId="2" borderId="36" xfId="0" applyNumberFormat="1" applyFont="1" applyFill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2" fontId="1" fillId="2" borderId="4" xfId="0" applyNumberFormat="1" applyFont="1" applyFill="1" applyBorder="1" applyAlignment="1">
      <alignment horizontal="center" vertical="center"/>
    </xf>
    <xf numFmtId="2" fontId="1" fillId="2" borderId="15" xfId="0" applyNumberFormat="1" applyFont="1" applyFill="1" applyBorder="1" applyAlignment="1">
      <alignment horizontal="center" vertical="center"/>
    </xf>
    <xf numFmtId="2" fontId="1" fillId="2" borderId="10" xfId="0" applyNumberFormat="1" applyFont="1" applyFill="1" applyBorder="1" applyAlignment="1">
      <alignment horizontal="center" vertical="center"/>
    </xf>
    <xf numFmtId="0" fontId="1" fillId="0" borderId="24" xfId="0" applyFont="1" applyBorder="1" applyAlignment="1">
      <alignment horizontal="left" vertical="center"/>
    </xf>
    <xf numFmtId="0" fontId="1" fillId="0" borderId="39" xfId="0" applyFont="1" applyBorder="1" applyAlignment="1">
      <alignment horizontal="left" vertical="center"/>
    </xf>
    <xf numFmtId="0" fontId="1" fillId="0" borderId="40" xfId="0" applyFont="1" applyBorder="1" applyAlignment="1">
      <alignment horizontal="left" vertical="center"/>
    </xf>
    <xf numFmtId="164" fontId="1" fillId="0" borderId="21" xfId="0" applyNumberFormat="1" applyFont="1" applyBorder="1" applyAlignment="1">
      <alignment horizontal="right" vertical="center"/>
    </xf>
    <xf numFmtId="164" fontId="1" fillId="0" borderId="22" xfId="0" applyNumberFormat="1" applyFont="1" applyBorder="1" applyAlignment="1">
      <alignment horizontal="right" vertical="center"/>
    </xf>
    <xf numFmtId="164" fontId="1" fillId="0" borderId="23" xfId="0" applyNumberFormat="1" applyFont="1" applyBorder="1" applyAlignment="1">
      <alignment horizontal="right" vertical="center"/>
    </xf>
    <xf numFmtId="1" fontId="0" fillId="0" borderId="17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2" fontId="1" fillId="0" borderId="41" xfId="0" applyNumberFormat="1" applyFont="1" applyBorder="1" applyAlignment="1">
      <alignment horizontal="center" vertical="center"/>
    </xf>
    <xf numFmtId="166" fontId="0" fillId="0" borderId="33" xfId="0" applyNumberFormat="1" applyBorder="1" applyAlignment="1">
      <alignment horizontal="center" vertical="center"/>
    </xf>
    <xf numFmtId="166" fontId="0" fillId="0" borderId="34" xfId="0" applyNumberFormat="1" applyBorder="1" applyAlignment="1">
      <alignment horizontal="center" vertical="center"/>
    </xf>
    <xf numFmtId="166" fontId="0" fillId="0" borderId="35" xfId="0" applyNumberForma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4" fontId="0" fillId="0" borderId="33" xfId="0" applyNumberFormat="1" applyBorder="1" applyAlignment="1">
      <alignment horizontal="center" vertical="center"/>
    </xf>
    <xf numFmtId="164" fontId="0" fillId="0" borderId="34" xfId="0" applyNumberFormat="1" applyBorder="1" applyAlignment="1">
      <alignment horizontal="center" vertical="center"/>
    </xf>
    <xf numFmtId="164" fontId="0" fillId="0" borderId="32" xfId="0" applyNumberFormat="1" applyBorder="1" applyAlignment="1">
      <alignment horizontal="center" vertical="center"/>
    </xf>
    <xf numFmtId="164" fontId="0" fillId="0" borderId="35" xfId="0" applyNumberFormat="1" applyBorder="1" applyAlignment="1">
      <alignment horizontal="center" vertical="center"/>
    </xf>
    <xf numFmtId="10" fontId="0" fillId="0" borderId="33" xfId="0" applyNumberFormat="1" applyBorder="1" applyAlignment="1">
      <alignment horizontal="center" vertical="center"/>
    </xf>
    <xf numFmtId="10" fontId="0" fillId="0" borderId="34" xfId="0" applyNumberFormat="1" applyBorder="1" applyAlignment="1">
      <alignment horizontal="center" vertical="center"/>
    </xf>
    <xf numFmtId="10" fontId="0" fillId="0" borderId="35" xfId="0" applyNumberFormat="1" applyBorder="1" applyAlignment="1">
      <alignment horizontal="center" vertical="center"/>
    </xf>
    <xf numFmtId="1" fontId="0" fillId="0" borderId="42" xfId="0" applyNumberFormat="1" applyBorder="1" applyAlignment="1">
      <alignment horizontal="center" vertical="center"/>
    </xf>
    <xf numFmtId="2" fontId="0" fillId="0" borderId="4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1" fillId="2" borderId="43" xfId="0" applyNumberFormat="1" applyFont="1" applyFill="1" applyBorder="1" applyAlignment="1">
      <alignment horizontal="center" vertical="center"/>
    </xf>
    <xf numFmtId="0" fontId="1" fillId="0" borderId="37" xfId="0" applyFont="1" applyBorder="1" applyAlignment="1">
      <alignment horizontal="right" vertical="center" shrinkToFit="1"/>
    </xf>
    <xf numFmtId="164" fontId="1" fillId="2" borderId="44" xfId="0" applyNumberFormat="1" applyFont="1" applyFill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1" fillId="2" borderId="11" xfId="0" applyFont="1" applyFill="1" applyBorder="1" applyAlignment="1">
      <alignment horizontal="left" vertical="center" shrinkToFit="1"/>
    </xf>
    <xf numFmtId="0" fontId="1" fillId="2" borderId="45" xfId="0" applyFont="1" applyFill="1" applyBorder="1" applyAlignment="1">
      <alignment horizontal="left" vertical="center" shrinkToFit="1"/>
    </xf>
    <xf numFmtId="1" fontId="0" fillId="0" borderId="24" xfId="0" applyNumberFormat="1" applyBorder="1" applyAlignment="1">
      <alignment horizontal="center" vertical="center"/>
    </xf>
    <xf numFmtId="1" fontId="0" fillId="0" borderId="40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27" xfId="0" applyNumberFormat="1" applyBorder="1" applyAlignment="1">
      <alignment horizontal="center" vertical="center"/>
    </xf>
    <xf numFmtId="2" fontId="0" fillId="0" borderId="42" xfId="0" applyNumberFormat="1" applyBorder="1" applyAlignment="1">
      <alignment horizontal="center" vertical="center"/>
    </xf>
    <xf numFmtId="10" fontId="0" fillId="0" borderId="42" xfId="0" applyNumberFormat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2" fillId="0" borderId="0" xfId="0" applyFont="1" applyAlignment="1">
      <alignment horizontal="left" vertical="center"/>
    </xf>
    <xf numFmtId="0" fontId="0" fillId="0" borderId="46" xfId="0" applyBorder="1" applyAlignment="1">
      <alignment horizontal="center" vertical="center"/>
    </xf>
    <xf numFmtId="0" fontId="0" fillId="0" borderId="46" xfId="0" applyBorder="1" applyAlignment="1">
      <alignment horizontal="left" vertical="center"/>
    </xf>
    <xf numFmtId="164" fontId="0" fillId="0" borderId="11" xfId="0" applyNumberFormat="1" applyBorder="1" applyAlignment="1">
      <alignment horizontal="center" vertical="center"/>
    </xf>
    <xf numFmtId="167" fontId="2" fillId="0" borderId="37" xfId="0" applyNumberFormat="1" applyFont="1" applyBorder="1" applyAlignment="1">
      <alignment horizontal="center"/>
    </xf>
    <xf numFmtId="167" fontId="2" fillId="0" borderId="11" xfId="0" applyNumberFormat="1" applyFont="1" applyBorder="1" applyAlignment="1">
      <alignment horizontal="center"/>
    </xf>
    <xf numFmtId="167" fontId="2" fillId="0" borderId="45" xfId="0" applyNumberFormat="1" applyFont="1" applyBorder="1" applyAlignment="1">
      <alignment horizontal="center"/>
    </xf>
    <xf numFmtId="49" fontId="2" fillId="0" borderId="37" xfId="0" applyNumberFormat="1" applyFont="1" applyBorder="1" applyAlignment="1">
      <alignment horizontal="center"/>
    </xf>
    <xf numFmtId="49" fontId="2" fillId="0" borderId="11" xfId="0" applyNumberFormat="1" applyFont="1" applyBorder="1" applyAlignment="1">
      <alignment horizontal="center"/>
    </xf>
    <xf numFmtId="49" fontId="2" fillId="0" borderId="45" xfId="0" applyNumberFormat="1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5" xfId="0" applyFont="1" applyBorder="1" applyAlignment="1">
      <alignment horizontal="center"/>
    </xf>
    <xf numFmtId="164" fontId="0" fillId="3" borderId="9" xfId="0" applyNumberFormat="1" applyFill="1" applyBorder="1" applyAlignment="1">
      <alignment horizontal="center" vertical="center"/>
    </xf>
    <xf numFmtId="164" fontId="0" fillId="3" borderId="3" xfId="0" applyNumberFormat="1" applyFill="1" applyBorder="1" applyAlignment="1">
      <alignment horizontal="center" vertical="center"/>
    </xf>
    <xf numFmtId="164" fontId="0" fillId="3" borderId="4" xfId="0" applyNumberFormat="1" applyFill="1" applyBorder="1" applyAlignment="1">
      <alignment horizontal="center" vertical="center"/>
    </xf>
    <xf numFmtId="164" fontId="0" fillId="3" borderId="24" xfId="0" applyNumberFormat="1" applyFill="1" applyBorder="1" applyAlignment="1">
      <alignment horizontal="center" vertical="center"/>
    </xf>
    <xf numFmtId="164" fontId="0" fillId="3" borderId="12" xfId="0" applyNumberFormat="1" applyFill="1" applyBorder="1" applyAlignment="1">
      <alignment horizontal="center" vertical="center"/>
    </xf>
    <xf numFmtId="164" fontId="0" fillId="3" borderId="28" xfId="0" applyNumberFormat="1" applyFill="1" applyBorder="1" applyAlignment="1">
      <alignment horizontal="center" vertical="center"/>
    </xf>
    <xf numFmtId="164" fontId="0" fillId="3" borderId="29" xfId="0" applyNumberFormat="1" applyFill="1" applyBorder="1" applyAlignment="1">
      <alignment horizontal="center" vertical="center"/>
    </xf>
    <xf numFmtId="164" fontId="0" fillId="3" borderId="8" xfId="0" applyNumberFormat="1" applyFill="1" applyBorder="1" applyAlignment="1">
      <alignment horizontal="center" vertical="center"/>
    </xf>
    <xf numFmtId="164" fontId="0" fillId="3" borderId="30" xfId="0" applyNumberFormat="1" applyFill="1" applyBorder="1" applyAlignment="1">
      <alignment horizontal="center" vertical="center"/>
    </xf>
    <xf numFmtId="164" fontId="0" fillId="3" borderId="31" xfId="0" applyNumberFormat="1" applyFill="1" applyBorder="1" applyAlignment="1">
      <alignment horizontal="center" vertical="center"/>
    </xf>
    <xf numFmtId="2" fontId="0" fillId="0" borderId="24" xfId="0" applyNumberFormat="1" applyBorder="1" applyAlignment="1">
      <alignment horizontal="center" vertical="center"/>
    </xf>
    <xf numFmtId="2" fontId="0" fillId="0" borderId="40" xfId="0" applyNumberFormat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3" borderId="2" xfId="0" applyNumberFormat="1" applyFill="1" applyBorder="1" applyAlignment="1">
      <alignment horizontal="center" vertical="center"/>
    </xf>
    <xf numFmtId="2" fontId="0" fillId="3" borderId="25" xfId="0" applyNumberFormat="1" applyFill="1" applyBorder="1" applyAlignment="1">
      <alignment horizontal="center" vertical="center"/>
    </xf>
    <xf numFmtId="2" fontId="0" fillId="3" borderId="3" xfId="0" applyNumberFormat="1" applyFill="1" applyBorder="1" applyAlignment="1">
      <alignment horizontal="center" vertical="center"/>
    </xf>
    <xf numFmtId="2" fontId="0" fillId="3" borderId="4" xfId="0" applyNumberFormat="1" applyFill="1" applyBorder="1" applyAlignment="1">
      <alignment horizontal="center" vertical="center"/>
    </xf>
    <xf numFmtId="2" fontId="0" fillId="3" borderId="28" xfId="0" applyNumberFormat="1" applyFill="1" applyBorder="1" applyAlignment="1">
      <alignment horizontal="center" vertical="center"/>
    </xf>
    <xf numFmtId="2" fontId="0" fillId="3" borderId="34" xfId="0" applyNumberFormat="1" applyFill="1" applyBorder="1" applyAlignment="1">
      <alignment horizontal="center" vertical="center"/>
    </xf>
    <xf numFmtId="2" fontId="0" fillId="3" borderId="35" xfId="0" applyNumberFormat="1" applyFill="1" applyBorder="1" applyAlignment="1">
      <alignment horizontal="center" vertical="center"/>
    </xf>
    <xf numFmtId="2" fontId="0" fillId="3" borderId="32" xfId="0" applyNumberFormat="1" applyFill="1" applyBorder="1" applyAlignment="1">
      <alignment horizontal="center" vertical="center"/>
    </xf>
    <xf numFmtId="2" fontId="1" fillId="0" borderId="33" xfId="0" applyNumberFormat="1" applyFont="1" applyBorder="1" applyAlignment="1">
      <alignment horizontal="center" vertical="center"/>
    </xf>
    <xf numFmtId="2" fontId="1" fillId="0" borderId="32" xfId="0" applyNumberFormat="1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164" fontId="1" fillId="0" borderId="10" xfId="0" applyNumberFormat="1" applyFont="1" applyBorder="1" applyAlignment="1">
      <alignment horizontal="center" vertical="center"/>
    </xf>
    <xf numFmtId="2" fontId="0" fillId="0" borderId="48" xfId="0" applyNumberFormat="1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41" xfId="0" applyNumberForma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49" xfId="0" applyFont="1" applyBorder="1" applyAlignment="1">
      <alignment horizontal="center" vertical="center"/>
    </xf>
    <xf numFmtId="0" fontId="1" fillId="0" borderId="50" xfId="0" applyFont="1" applyBorder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" fontId="1" fillId="0" borderId="37" xfId="0" applyNumberFormat="1" applyFont="1" applyBorder="1" applyAlignment="1">
      <alignment horizontal="center" vertical="center"/>
    </xf>
    <xf numFmtId="1" fontId="1" fillId="0" borderId="11" xfId="0" applyNumberFormat="1" applyFont="1" applyBorder="1" applyAlignment="1">
      <alignment horizontal="center" vertical="center"/>
    </xf>
    <xf numFmtId="1" fontId="1" fillId="0" borderId="45" xfId="0" applyNumberFormat="1" applyFon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/>
    </xf>
    <xf numFmtId="1" fontId="0" fillId="0" borderId="45" xfId="0" applyNumberFormat="1" applyBorder="1" applyAlignment="1">
      <alignment horizontal="center" vertical="center"/>
    </xf>
    <xf numFmtId="1" fontId="0" fillId="0" borderId="37" xfId="0" applyNumberFormat="1" applyBorder="1" applyAlignment="1">
      <alignment horizontal="center" vertical="center"/>
    </xf>
    <xf numFmtId="1" fontId="0" fillId="0" borderId="42" xfId="0" applyNumberFormat="1" applyBorder="1" applyAlignment="1">
      <alignment horizontal="center" vertical="center"/>
    </xf>
    <xf numFmtId="2" fontId="0" fillId="0" borderId="47" xfId="0" applyNumberFormat="1" applyBorder="1" applyAlignment="1">
      <alignment horizontal="center" vertical="center"/>
    </xf>
    <xf numFmtId="2" fontId="0" fillId="0" borderId="18" xfId="0" applyNumberFormat="1" applyBorder="1" applyAlignment="1">
      <alignment horizontal="center" vertical="center"/>
    </xf>
    <xf numFmtId="2" fontId="1" fillId="0" borderId="37" xfId="0" applyNumberFormat="1" applyFont="1" applyBorder="1" applyAlignment="1">
      <alignment horizontal="center" vertical="center"/>
    </xf>
    <xf numFmtId="2" fontId="1" fillId="0" borderId="11" xfId="0" applyNumberFormat="1" applyFont="1" applyBorder="1" applyAlignment="1">
      <alignment horizontal="center" vertical="center"/>
    </xf>
    <xf numFmtId="2" fontId="1" fillId="0" borderId="45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49" xfId="0" applyNumberFormat="1" applyFont="1" applyBorder="1" applyAlignment="1">
      <alignment horizontal="center" vertical="center"/>
    </xf>
    <xf numFmtId="164" fontId="1" fillId="0" borderId="50" xfId="0" applyNumberFormat="1" applyFont="1" applyBorder="1" applyAlignment="1">
      <alignment horizontal="center" vertical="center"/>
    </xf>
    <xf numFmtId="164" fontId="1" fillId="0" borderId="51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0" borderId="4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2" fillId="0" borderId="46" xfId="0" applyFont="1" applyBorder="1" applyAlignment="1">
      <alignment horizontal="left" vertical="center"/>
    </xf>
    <xf numFmtId="0" fontId="1" fillId="0" borderId="2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1" fillId="0" borderId="16" xfId="0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12.5mm (1/2) Individual Measurements</a:t>
            </a:r>
          </a:p>
        </c:rich>
      </c:tx>
      <c:layout>
        <c:manualLayout>
          <c:xMode val="edge"/>
          <c:yMode val="edge"/>
          <c:x val="0.35792657899145586"/>
          <c:y val="0.1927436023622047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8808172531214528E-2"/>
          <c:y val="0.31711592300962382"/>
          <c:w val="0.8793038214150587"/>
          <c:h val="0.48787882764654417"/>
        </c:manualLayout>
      </c:layout>
      <c:lineChart>
        <c:grouping val="standard"/>
        <c:varyColors val="0"/>
        <c:ser>
          <c:idx val="0"/>
          <c:order val="0"/>
          <c:tx>
            <c:v>% Passing</c:v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Report!$D$158:$S$158</c:f>
              <c:numCache>
                <c:formatCode>0.00</c:formatCode>
                <c:ptCount val="16"/>
                <c:pt idx="0">
                  <c:v>97.73</c:v>
                </c:pt>
                <c:pt idx="1">
                  <c:v>97.28</c:v>
                </c:pt>
                <c:pt idx="2">
                  <c:v>94.69</c:v>
                </c:pt>
                <c:pt idx="3">
                  <c:v>95.45</c:v>
                </c:pt>
                <c:pt idx="4">
                  <c:v>98.25</c:v>
                </c:pt>
                <c:pt idx="5">
                  <c:v>97.08</c:v>
                </c:pt>
                <c:pt idx="6">
                  <c:v>95.92</c:v>
                </c:pt>
                <c:pt idx="7">
                  <c:v>96.54</c:v>
                </c:pt>
                <c:pt idx="8">
                  <c:v>94.9</c:v>
                </c:pt>
                <c:pt idx="9">
                  <c:v>95.8</c:v>
                </c:pt>
                <c:pt idx="10">
                  <c:v>96.06</c:v>
                </c:pt>
                <c:pt idx="11">
                  <c:v>96.12</c:v>
                </c:pt>
                <c:pt idx="12">
                  <c:v>95.14</c:v>
                </c:pt>
                <c:pt idx="13">
                  <c:v>95.67</c:v>
                </c:pt>
                <c:pt idx="14">
                  <c:v>96.39</c:v>
                </c:pt>
                <c:pt idx="15">
                  <c:v>94.8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62-9F46-AB73-29E3204829F6}"/>
            </c:ext>
          </c:extLst>
        </c:ser>
        <c:ser>
          <c:idx val="1"/>
          <c:order val="1"/>
          <c:tx>
            <c:v>Upper Action Limit</c:v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Report!$D$79:$S$79</c:f>
              <c:numCache>
                <c:formatCode>0.0</c:formatCode>
                <c:ptCount val="16"/>
                <c:pt idx="0">
                  <c:v>101</c:v>
                </c:pt>
                <c:pt idx="1">
                  <c:v>101</c:v>
                </c:pt>
                <c:pt idx="2">
                  <c:v>101</c:v>
                </c:pt>
                <c:pt idx="3">
                  <c:v>101</c:v>
                </c:pt>
                <c:pt idx="4">
                  <c:v>101</c:v>
                </c:pt>
                <c:pt idx="5">
                  <c:v>101</c:v>
                </c:pt>
                <c:pt idx="6">
                  <c:v>101</c:v>
                </c:pt>
                <c:pt idx="7">
                  <c:v>101</c:v>
                </c:pt>
                <c:pt idx="8">
                  <c:v>101</c:v>
                </c:pt>
                <c:pt idx="9">
                  <c:v>101</c:v>
                </c:pt>
                <c:pt idx="10">
                  <c:v>101</c:v>
                </c:pt>
                <c:pt idx="11">
                  <c:v>101</c:v>
                </c:pt>
                <c:pt idx="12">
                  <c:v>101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162-9F46-AB73-29E3204829F6}"/>
            </c:ext>
          </c:extLst>
        </c:ser>
        <c:ser>
          <c:idx val="2"/>
          <c:order val="2"/>
          <c:tx>
            <c:v>Lower Action Limit</c:v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Report!$D$80:$S$80</c:f>
              <c:numCache>
                <c:formatCode>0.0</c:formatCode>
                <c:ptCount val="16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62-9F46-AB73-29E3204829F6}"/>
            </c:ext>
          </c:extLst>
        </c:ser>
        <c:ser>
          <c:idx val="3"/>
          <c:order val="3"/>
          <c:tx>
            <c:v>Upper Suspension Limit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Report!$D$81:$S$81</c:f>
              <c:numCache>
                <c:formatCode>0.0</c:formatCode>
                <c:ptCount val="16"/>
                <c:pt idx="0">
                  <c:v>106.43</c:v>
                </c:pt>
                <c:pt idx="1">
                  <c:v>106.43</c:v>
                </c:pt>
                <c:pt idx="2">
                  <c:v>106.43</c:v>
                </c:pt>
                <c:pt idx="3">
                  <c:v>106.43</c:v>
                </c:pt>
                <c:pt idx="4">
                  <c:v>106.43</c:v>
                </c:pt>
                <c:pt idx="5">
                  <c:v>106.43</c:v>
                </c:pt>
                <c:pt idx="6">
                  <c:v>106.43</c:v>
                </c:pt>
                <c:pt idx="7">
                  <c:v>106.43</c:v>
                </c:pt>
                <c:pt idx="8">
                  <c:v>106.43</c:v>
                </c:pt>
                <c:pt idx="9">
                  <c:v>106.43</c:v>
                </c:pt>
                <c:pt idx="10">
                  <c:v>106.43</c:v>
                </c:pt>
                <c:pt idx="11">
                  <c:v>106.43</c:v>
                </c:pt>
                <c:pt idx="12">
                  <c:v>106.43</c:v>
                </c:pt>
                <c:pt idx="13">
                  <c:v>106.43</c:v>
                </c:pt>
                <c:pt idx="14">
                  <c:v>106.43</c:v>
                </c:pt>
                <c:pt idx="15">
                  <c:v>106.43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162-9F46-AB73-29E3204829F6}"/>
            </c:ext>
          </c:extLst>
        </c:ser>
        <c:ser>
          <c:idx val="4"/>
          <c:order val="4"/>
          <c:tx>
            <c:v>Lower Suspension Limit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Report!$D$82:$S$82</c:f>
              <c:numCache>
                <c:formatCode>0.0</c:formatCode>
                <c:ptCount val="16"/>
                <c:pt idx="0">
                  <c:v>83.57</c:v>
                </c:pt>
                <c:pt idx="1">
                  <c:v>83.57</c:v>
                </c:pt>
                <c:pt idx="2">
                  <c:v>83.57</c:v>
                </c:pt>
                <c:pt idx="3">
                  <c:v>83.57</c:v>
                </c:pt>
                <c:pt idx="4">
                  <c:v>83.57</c:v>
                </c:pt>
                <c:pt idx="5">
                  <c:v>83.57</c:v>
                </c:pt>
                <c:pt idx="6">
                  <c:v>83.57</c:v>
                </c:pt>
                <c:pt idx="7">
                  <c:v>83.57</c:v>
                </c:pt>
                <c:pt idx="8">
                  <c:v>83.57</c:v>
                </c:pt>
                <c:pt idx="9">
                  <c:v>83.57</c:v>
                </c:pt>
                <c:pt idx="10">
                  <c:v>83.57</c:v>
                </c:pt>
                <c:pt idx="11">
                  <c:v>83.57</c:v>
                </c:pt>
                <c:pt idx="12">
                  <c:v>83.57</c:v>
                </c:pt>
                <c:pt idx="13">
                  <c:v>83.57</c:v>
                </c:pt>
                <c:pt idx="14">
                  <c:v>83.57</c:v>
                </c:pt>
                <c:pt idx="15">
                  <c:v>83.57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162-9F46-AB73-29E320482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8407232"/>
        <c:axId val="1"/>
      </c:lineChart>
      <c:catAx>
        <c:axId val="20684072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in val="8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8407232"/>
        <c:crosses val="autoZero"/>
        <c:crossBetween val="between"/>
        <c:majorUnit val="5"/>
        <c:minorUnit val="1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3298291171050428"/>
          <c:y val="5.0001476377952755E-2"/>
          <c:w val="0.73140622382308595"/>
          <c:h val="9.3753444881889761E-2"/>
        </c:manualLayout>
      </c:layout>
      <c:overlay val="0"/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-3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9.5mm (3/8) Individual Measurements</a:t>
            </a:r>
          </a:p>
        </c:rich>
      </c:tx>
      <c:layout>
        <c:manualLayout>
          <c:xMode val="edge"/>
          <c:yMode val="edge"/>
          <c:x val="0.36549380130675152"/>
          <c:y val="4.368946176248516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9564888384411657E-2"/>
          <c:y val="0.16181229773462782"/>
          <c:w val="0.88006053726825573"/>
          <c:h val="0.63402390235201178"/>
        </c:manualLayout>
      </c:layout>
      <c:lineChart>
        <c:grouping val="standard"/>
        <c:varyColors val="0"/>
        <c:ser>
          <c:idx val="0"/>
          <c:order val="0"/>
          <c:tx>
            <c:v>% Passing</c:v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Report!$D$159:$S$159</c:f>
              <c:numCache>
                <c:formatCode>0.00</c:formatCode>
                <c:ptCount val="16"/>
                <c:pt idx="0">
                  <c:v>90</c:v>
                </c:pt>
                <c:pt idx="1">
                  <c:v>90.18</c:v>
                </c:pt>
                <c:pt idx="2">
                  <c:v>86.48</c:v>
                </c:pt>
                <c:pt idx="3">
                  <c:v>84.86</c:v>
                </c:pt>
                <c:pt idx="4">
                  <c:v>91.39</c:v>
                </c:pt>
                <c:pt idx="5">
                  <c:v>89.36</c:v>
                </c:pt>
                <c:pt idx="6">
                  <c:v>90.25</c:v>
                </c:pt>
                <c:pt idx="7">
                  <c:v>88.84</c:v>
                </c:pt>
                <c:pt idx="8">
                  <c:v>82.99</c:v>
                </c:pt>
                <c:pt idx="9">
                  <c:v>86.89</c:v>
                </c:pt>
                <c:pt idx="10">
                  <c:v>87.69</c:v>
                </c:pt>
                <c:pt idx="11">
                  <c:v>89.24</c:v>
                </c:pt>
                <c:pt idx="12">
                  <c:v>88.2</c:v>
                </c:pt>
                <c:pt idx="13">
                  <c:v>87.03</c:v>
                </c:pt>
                <c:pt idx="14">
                  <c:v>87.49</c:v>
                </c:pt>
                <c:pt idx="15">
                  <c:v>87.9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43-D04C-A8BF-BDD0C644E1F8}"/>
            </c:ext>
          </c:extLst>
        </c:ser>
        <c:ser>
          <c:idx val="1"/>
          <c:order val="1"/>
          <c:tx>
            <c:v>Upper Action Limit</c:v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Report!$D$83:$S$83</c:f>
              <c:numCache>
                <c:formatCode>0.0</c:formatCode>
                <c:ptCount val="16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243-D04C-A8BF-BDD0C644E1F8}"/>
            </c:ext>
          </c:extLst>
        </c:ser>
        <c:ser>
          <c:idx val="2"/>
          <c:order val="2"/>
          <c:tx>
            <c:v>Lower Action Limit</c:v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Report!$D$84:$S$84</c:f>
              <c:numCache>
                <c:formatCode>0.0</c:formatCode>
                <c:ptCount val="16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43-D04C-A8BF-BDD0C644E1F8}"/>
            </c:ext>
          </c:extLst>
        </c:ser>
        <c:ser>
          <c:idx val="3"/>
          <c:order val="3"/>
          <c:tx>
            <c:v>Upper Suspension Limit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Report!$D$85:$S$85</c:f>
              <c:numCache>
                <c:formatCode>0.0</c:formatCode>
                <c:ptCount val="16"/>
                <c:pt idx="0">
                  <c:v>97.43</c:v>
                </c:pt>
                <c:pt idx="1">
                  <c:v>97.43</c:v>
                </c:pt>
                <c:pt idx="2">
                  <c:v>97.43</c:v>
                </c:pt>
                <c:pt idx="3">
                  <c:v>97.43</c:v>
                </c:pt>
                <c:pt idx="4">
                  <c:v>97.43</c:v>
                </c:pt>
                <c:pt idx="5">
                  <c:v>97.43</c:v>
                </c:pt>
                <c:pt idx="6">
                  <c:v>97.43</c:v>
                </c:pt>
                <c:pt idx="7">
                  <c:v>97.43</c:v>
                </c:pt>
                <c:pt idx="8">
                  <c:v>97.43</c:v>
                </c:pt>
                <c:pt idx="9">
                  <c:v>97.43</c:v>
                </c:pt>
                <c:pt idx="10">
                  <c:v>97.43</c:v>
                </c:pt>
                <c:pt idx="11">
                  <c:v>97.43</c:v>
                </c:pt>
                <c:pt idx="12">
                  <c:v>97.43</c:v>
                </c:pt>
                <c:pt idx="13">
                  <c:v>97.43</c:v>
                </c:pt>
                <c:pt idx="14">
                  <c:v>97.43</c:v>
                </c:pt>
                <c:pt idx="15">
                  <c:v>97.43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243-D04C-A8BF-BDD0C644E1F8}"/>
            </c:ext>
          </c:extLst>
        </c:ser>
        <c:ser>
          <c:idx val="4"/>
          <c:order val="4"/>
          <c:tx>
            <c:v>Lower Suspension Limit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Report!$D$86:$S$86</c:f>
              <c:numCache>
                <c:formatCode>0.0</c:formatCode>
                <c:ptCount val="16"/>
                <c:pt idx="0">
                  <c:v>74.569999999999993</c:v>
                </c:pt>
                <c:pt idx="1">
                  <c:v>74.569999999999993</c:v>
                </c:pt>
                <c:pt idx="2">
                  <c:v>74.569999999999993</c:v>
                </c:pt>
                <c:pt idx="3">
                  <c:v>74.569999999999993</c:v>
                </c:pt>
                <c:pt idx="4">
                  <c:v>74.569999999999993</c:v>
                </c:pt>
                <c:pt idx="5">
                  <c:v>74.569999999999993</c:v>
                </c:pt>
                <c:pt idx="6">
                  <c:v>74.569999999999993</c:v>
                </c:pt>
                <c:pt idx="7">
                  <c:v>74.569999999999993</c:v>
                </c:pt>
                <c:pt idx="8">
                  <c:v>74.569999999999993</c:v>
                </c:pt>
                <c:pt idx="9">
                  <c:v>74.569999999999993</c:v>
                </c:pt>
                <c:pt idx="10">
                  <c:v>74.569999999999993</c:v>
                </c:pt>
                <c:pt idx="11">
                  <c:v>74.569999999999993</c:v>
                </c:pt>
                <c:pt idx="12">
                  <c:v>74.569999999999993</c:v>
                </c:pt>
                <c:pt idx="13">
                  <c:v>74.569999999999993</c:v>
                </c:pt>
                <c:pt idx="14">
                  <c:v>74.569999999999993</c:v>
                </c:pt>
                <c:pt idx="15">
                  <c:v>74.569999999999993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243-D04C-A8BF-BDD0C644E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552048"/>
        <c:axId val="1"/>
      </c:lineChart>
      <c:catAx>
        <c:axId val="21305520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in val="7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30552048"/>
        <c:crosses val="autoZero"/>
        <c:crossBetween val="between"/>
        <c:majorUnit val="5"/>
        <c:minorUnit val="1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4.75mm (#4) individual Measurements</a:t>
            </a:r>
          </a:p>
        </c:rich>
      </c:tx>
      <c:layout>
        <c:manualLayout>
          <c:xMode val="edge"/>
          <c:yMode val="edge"/>
          <c:x val="0.36322363461216284"/>
          <c:y val="4.39022535976106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9564888384411657E-2"/>
          <c:y val="0.15609807310671528"/>
          <c:w val="0.88006053726825573"/>
          <c:h val="0.65175033608603805"/>
        </c:manualLayout>
      </c:layout>
      <c:lineChart>
        <c:grouping val="standard"/>
        <c:varyColors val="0"/>
        <c:ser>
          <c:idx val="0"/>
          <c:order val="0"/>
          <c:tx>
            <c:v>% Passing</c:v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Report!$D$160:$S$160</c:f>
              <c:numCache>
                <c:formatCode>0.00</c:formatCode>
                <c:ptCount val="16"/>
                <c:pt idx="0">
                  <c:v>66.290000000000006</c:v>
                </c:pt>
                <c:pt idx="1">
                  <c:v>64.17</c:v>
                </c:pt>
                <c:pt idx="2">
                  <c:v>63.7</c:v>
                </c:pt>
                <c:pt idx="3">
                  <c:v>64.45</c:v>
                </c:pt>
                <c:pt idx="4">
                  <c:v>66.819999999999993</c:v>
                </c:pt>
                <c:pt idx="5">
                  <c:v>67.12</c:v>
                </c:pt>
                <c:pt idx="6">
                  <c:v>68.69</c:v>
                </c:pt>
                <c:pt idx="7">
                  <c:v>66.67</c:v>
                </c:pt>
                <c:pt idx="8">
                  <c:v>61.1</c:v>
                </c:pt>
                <c:pt idx="9">
                  <c:v>64.31</c:v>
                </c:pt>
                <c:pt idx="10">
                  <c:v>64.790000000000006</c:v>
                </c:pt>
                <c:pt idx="11">
                  <c:v>67.709999999999994</c:v>
                </c:pt>
                <c:pt idx="12">
                  <c:v>67</c:v>
                </c:pt>
                <c:pt idx="13">
                  <c:v>71.09</c:v>
                </c:pt>
                <c:pt idx="14">
                  <c:v>65.42</c:v>
                </c:pt>
                <c:pt idx="15">
                  <c:v>69.61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A0-2045-A32F-CAB4CFDE012A}"/>
            </c:ext>
          </c:extLst>
        </c:ser>
        <c:ser>
          <c:idx val="1"/>
          <c:order val="1"/>
          <c:tx>
            <c:v>Upper Action Limit</c:v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Report!$D$87:$S$87</c:f>
              <c:numCache>
                <c:formatCode>0.0</c:formatCode>
                <c:ptCount val="16"/>
                <c:pt idx="0">
                  <c:v>74</c:v>
                </c:pt>
                <c:pt idx="1">
                  <c:v>74</c:v>
                </c:pt>
                <c:pt idx="2">
                  <c:v>74</c:v>
                </c:pt>
                <c:pt idx="3">
                  <c:v>74</c:v>
                </c:pt>
                <c:pt idx="4">
                  <c:v>74</c:v>
                </c:pt>
                <c:pt idx="5">
                  <c:v>74</c:v>
                </c:pt>
                <c:pt idx="6">
                  <c:v>74</c:v>
                </c:pt>
                <c:pt idx="7">
                  <c:v>74</c:v>
                </c:pt>
                <c:pt idx="8">
                  <c:v>74</c:v>
                </c:pt>
                <c:pt idx="9">
                  <c:v>74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FA0-2045-A32F-CAB4CFDE012A}"/>
            </c:ext>
          </c:extLst>
        </c:ser>
        <c:ser>
          <c:idx val="2"/>
          <c:order val="2"/>
          <c:tx>
            <c:v>Lower Action Limit</c:v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Report!$D$88:$S$88</c:f>
              <c:numCache>
                <c:formatCode>0.0</c:formatCode>
                <c:ptCount val="16"/>
                <c:pt idx="0">
                  <c:v>62</c:v>
                </c:pt>
                <c:pt idx="1">
                  <c:v>62</c:v>
                </c:pt>
                <c:pt idx="2">
                  <c:v>62</c:v>
                </c:pt>
                <c:pt idx="3">
                  <c:v>62</c:v>
                </c:pt>
                <c:pt idx="4">
                  <c:v>62</c:v>
                </c:pt>
                <c:pt idx="5">
                  <c:v>62</c:v>
                </c:pt>
                <c:pt idx="6">
                  <c:v>62</c:v>
                </c:pt>
                <c:pt idx="7">
                  <c:v>62</c:v>
                </c:pt>
                <c:pt idx="8">
                  <c:v>62</c:v>
                </c:pt>
                <c:pt idx="9">
                  <c:v>62</c:v>
                </c:pt>
                <c:pt idx="10">
                  <c:v>62</c:v>
                </c:pt>
                <c:pt idx="11">
                  <c:v>62</c:v>
                </c:pt>
                <c:pt idx="12">
                  <c:v>62</c:v>
                </c:pt>
                <c:pt idx="13">
                  <c:v>62</c:v>
                </c:pt>
                <c:pt idx="14">
                  <c:v>62</c:v>
                </c:pt>
                <c:pt idx="15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A0-2045-A32F-CAB4CFDE012A}"/>
            </c:ext>
          </c:extLst>
        </c:ser>
        <c:ser>
          <c:idx val="3"/>
          <c:order val="3"/>
          <c:tx>
            <c:v>Upper Suspension Limit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Report!$D$89:$S$89</c:f>
              <c:numCache>
                <c:formatCode>0.0</c:formatCode>
                <c:ptCount val="16"/>
                <c:pt idx="0">
                  <c:v>79.430000000000007</c:v>
                </c:pt>
                <c:pt idx="1">
                  <c:v>79.430000000000007</c:v>
                </c:pt>
                <c:pt idx="2">
                  <c:v>79.430000000000007</c:v>
                </c:pt>
                <c:pt idx="3">
                  <c:v>79.430000000000007</c:v>
                </c:pt>
                <c:pt idx="4">
                  <c:v>79.430000000000007</c:v>
                </c:pt>
                <c:pt idx="5">
                  <c:v>79.430000000000007</c:v>
                </c:pt>
                <c:pt idx="6">
                  <c:v>79.430000000000007</c:v>
                </c:pt>
                <c:pt idx="7">
                  <c:v>79.430000000000007</c:v>
                </c:pt>
                <c:pt idx="8">
                  <c:v>79.430000000000007</c:v>
                </c:pt>
                <c:pt idx="9">
                  <c:v>79.430000000000007</c:v>
                </c:pt>
                <c:pt idx="10">
                  <c:v>79.430000000000007</c:v>
                </c:pt>
                <c:pt idx="11">
                  <c:v>79.430000000000007</c:v>
                </c:pt>
                <c:pt idx="12">
                  <c:v>79.430000000000007</c:v>
                </c:pt>
                <c:pt idx="13">
                  <c:v>79.430000000000007</c:v>
                </c:pt>
                <c:pt idx="14">
                  <c:v>79.430000000000007</c:v>
                </c:pt>
                <c:pt idx="15">
                  <c:v>79.430000000000007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FA0-2045-A32F-CAB4CFDE012A}"/>
            </c:ext>
          </c:extLst>
        </c:ser>
        <c:ser>
          <c:idx val="4"/>
          <c:order val="4"/>
          <c:tx>
            <c:v>Lower Suspension Limit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Report!$D$90:$S$90</c:f>
              <c:numCache>
                <c:formatCode>0.0</c:formatCode>
                <c:ptCount val="16"/>
                <c:pt idx="0">
                  <c:v>56.57</c:v>
                </c:pt>
                <c:pt idx="1">
                  <c:v>56.57</c:v>
                </c:pt>
                <c:pt idx="2">
                  <c:v>56.57</c:v>
                </c:pt>
                <c:pt idx="3">
                  <c:v>56.57</c:v>
                </c:pt>
                <c:pt idx="4">
                  <c:v>56.57</c:v>
                </c:pt>
                <c:pt idx="5">
                  <c:v>56.57</c:v>
                </c:pt>
                <c:pt idx="6">
                  <c:v>56.57</c:v>
                </c:pt>
                <c:pt idx="7">
                  <c:v>56.57</c:v>
                </c:pt>
                <c:pt idx="8">
                  <c:v>56.57</c:v>
                </c:pt>
                <c:pt idx="9">
                  <c:v>56.57</c:v>
                </c:pt>
                <c:pt idx="10">
                  <c:v>56.57</c:v>
                </c:pt>
                <c:pt idx="11">
                  <c:v>56.57</c:v>
                </c:pt>
                <c:pt idx="12">
                  <c:v>56.57</c:v>
                </c:pt>
                <c:pt idx="13">
                  <c:v>56.57</c:v>
                </c:pt>
                <c:pt idx="14">
                  <c:v>56.57</c:v>
                </c:pt>
                <c:pt idx="15">
                  <c:v>56.57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FA0-2045-A32F-CAB4CFDE0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236624"/>
        <c:axId val="1"/>
      </c:lineChart>
      <c:catAx>
        <c:axId val="19642366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in val="5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4236624"/>
        <c:crosses val="autoZero"/>
        <c:crossBetween val="between"/>
        <c:majorUnit val="5"/>
        <c:minorUnit val="1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1.18mm (#16) Individual Measurements</a:t>
            </a:r>
          </a:p>
        </c:rich>
      </c:tx>
      <c:layout>
        <c:manualLayout>
          <c:xMode val="edge"/>
          <c:yMode val="edge"/>
          <c:x val="0.35981843692410792"/>
          <c:y val="4.41174540682414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9564888384411657E-2"/>
          <c:y val="0.16340023673511397"/>
          <c:w val="0.88006053726825573"/>
          <c:h val="0.64350625289485874"/>
        </c:manualLayout>
      </c:layout>
      <c:lineChart>
        <c:grouping val="standard"/>
        <c:varyColors val="0"/>
        <c:ser>
          <c:idx val="0"/>
          <c:order val="0"/>
          <c:tx>
            <c:v>% Passing</c:v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Report!$D$162:$S$162</c:f>
              <c:numCache>
                <c:formatCode>0.00</c:formatCode>
                <c:ptCount val="16"/>
                <c:pt idx="0">
                  <c:v>30.4</c:v>
                </c:pt>
                <c:pt idx="1">
                  <c:v>35.17</c:v>
                </c:pt>
                <c:pt idx="2">
                  <c:v>35.5</c:v>
                </c:pt>
                <c:pt idx="3">
                  <c:v>31.23</c:v>
                </c:pt>
                <c:pt idx="4">
                  <c:v>36.47</c:v>
                </c:pt>
                <c:pt idx="5">
                  <c:v>34.64</c:v>
                </c:pt>
                <c:pt idx="6">
                  <c:v>38.869999999999997</c:v>
                </c:pt>
                <c:pt idx="7">
                  <c:v>35.56</c:v>
                </c:pt>
                <c:pt idx="8">
                  <c:v>34.29</c:v>
                </c:pt>
                <c:pt idx="9">
                  <c:v>31.91</c:v>
                </c:pt>
                <c:pt idx="10">
                  <c:v>34.24</c:v>
                </c:pt>
                <c:pt idx="11">
                  <c:v>33.78</c:v>
                </c:pt>
                <c:pt idx="12">
                  <c:v>35.5</c:v>
                </c:pt>
                <c:pt idx="13">
                  <c:v>35.18</c:v>
                </c:pt>
                <c:pt idx="14">
                  <c:v>35.65</c:v>
                </c:pt>
                <c:pt idx="15">
                  <c:v>36.28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E1-8948-A985-57AE6816560A}"/>
            </c:ext>
          </c:extLst>
        </c:ser>
        <c:ser>
          <c:idx val="1"/>
          <c:order val="1"/>
          <c:tx>
            <c:v>Upper Action Limit</c:v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Report!$D$95:$S$95</c:f>
              <c:numCache>
                <c:formatCode>0.0</c:formatCode>
                <c:ptCount val="16"/>
                <c:pt idx="0">
                  <c:v>39</c:v>
                </c:pt>
                <c:pt idx="1">
                  <c:v>39</c:v>
                </c:pt>
                <c:pt idx="2">
                  <c:v>39</c:v>
                </c:pt>
                <c:pt idx="3">
                  <c:v>39</c:v>
                </c:pt>
                <c:pt idx="4">
                  <c:v>39</c:v>
                </c:pt>
                <c:pt idx="5">
                  <c:v>39</c:v>
                </c:pt>
                <c:pt idx="6">
                  <c:v>39</c:v>
                </c:pt>
                <c:pt idx="7">
                  <c:v>39</c:v>
                </c:pt>
                <c:pt idx="8">
                  <c:v>39</c:v>
                </c:pt>
                <c:pt idx="9">
                  <c:v>39</c:v>
                </c:pt>
                <c:pt idx="10">
                  <c:v>39</c:v>
                </c:pt>
                <c:pt idx="11">
                  <c:v>39</c:v>
                </c:pt>
                <c:pt idx="12">
                  <c:v>39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7E1-8948-A985-57AE6816560A}"/>
            </c:ext>
          </c:extLst>
        </c:ser>
        <c:ser>
          <c:idx val="2"/>
          <c:order val="2"/>
          <c:tx>
            <c:v>Lower Action Limit</c:v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Report!$D$96:$S$96</c:f>
              <c:numCache>
                <c:formatCode>0.0</c:formatCode>
                <c:ptCount val="16"/>
                <c:pt idx="0">
                  <c:v>29</c:v>
                </c:pt>
                <c:pt idx="1">
                  <c:v>29</c:v>
                </c:pt>
                <c:pt idx="2">
                  <c:v>29</c:v>
                </c:pt>
                <c:pt idx="3">
                  <c:v>29</c:v>
                </c:pt>
                <c:pt idx="4">
                  <c:v>29</c:v>
                </c:pt>
                <c:pt idx="5">
                  <c:v>29</c:v>
                </c:pt>
                <c:pt idx="6">
                  <c:v>29</c:v>
                </c:pt>
                <c:pt idx="7">
                  <c:v>29</c:v>
                </c:pt>
                <c:pt idx="8">
                  <c:v>29</c:v>
                </c:pt>
                <c:pt idx="9">
                  <c:v>29</c:v>
                </c:pt>
                <c:pt idx="10">
                  <c:v>29</c:v>
                </c:pt>
                <c:pt idx="11">
                  <c:v>29</c:v>
                </c:pt>
                <c:pt idx="12">
                  <c:v>29</c:v>
                </c:pt>
                <c:pt idx="13">
                  <c:v>29</c:v>
                </c:pt>
                <c:pt idx="14">
                  <c:v>29</c:v>
                </c:pt>
                <c:pt idx="15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E1-8948-A985-57AE6816560A}"/>
            </c:ext>
          </c:extLst>
        </c:ser>
        <c:ser>
          <c:idx val="3"/>
          <c:order val="3"/>
          <c:tx>
            <c:v>Upper Suspension Limit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Report!$D$97:$S$97</c:f>
              <c:numCache>
                <c:formatCode>0.0</c:formatCode>
                <c:ptCount val="16"/>
                <c:pt idx="0">
                  <c:v>43.524999999999999</c:v>
                </c:pt>
                <c:pt idx="1">
                  <c:v>43.524999999999999</c:v>
                </c:pt>
                <c:pt idx="2">
                  <c:v>43.524999999999999</c:v>
                </c:pt>
                <c:pt idx="3">
                  <c:v>43.524999999999999</c:v>
                </c:pt>
                <c:pt idx="4">
                  <c:v>43.524999999999999</c:v>
                </c:pt>
                <c:pt idx="5">
                  <c:v>43.524999999999999</c:v>
                </c:pt>
                <c:pt idx="6">
                  <c:v>43.524999999999999</c:v>
                </c:pt>
                <c:pt idx="7">
                  <c:v>43.524999999999999</c:v>
                </c:pt>
                <c:pt idx="8">
                  <c:v>43.524999999999999</c:v>
                </c:pt>
                <c:pt idx="9">
                  <c:v>43.524999999999999</c:v>
                </c:pt>
                <c:pt idx="10">
                  <c:v>43.524999999999999</c:v>
                </c:pt>
                <c:pt idx="11">
                  <c:v>43.524999999999999</c:v>
                </c:pt>
                <c:pt idx="12">
                  <c:v>43.524999999999999</c:v>
                </c:pt>
                <c:pt idx="13">
                  <c:v>43.524999999999999</c:v>
                </c:pt>
                <c:pt idx="14">
                  <c:v>43.524999999999999</c:v>
                </c:pt>
                <c:pt idx="15">
                  <c:v>43.524999999999999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E1-8948-A985-57AE6816560A}"/>
            </c:ext>
          </c:extLst>
        </c:ser>
        <c:ser>
          <c:idx val="4"/>
          <c:order val="4"/>
          <c:tx>
            <c:v>Lower Suspension Limit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Report!$D$98:$S$98</c:f>
              <c:numCache>
                <c:formatCode>0.0</c:formatCode>
                <c:ptCount val="16"/>
                <c:pt idx="0">
                  <c:v>24.475000000000001</c:v>
                </c:pt>
                <c:pt idx="1">
                  <c:v>24.475000000000001</c:v>
                </c:pt>
                <c:pt idx="2">
                  <c:v>24.475000000000001</c:v>
                </c:pt>
                <c:pt idx="3">
                  <c:v>24.475000000000001</c:v>
                </c:pt>
                <c:pt idx="4">
                  <c:v>24.475000000000001</c:v>
                </c:pt>
                <c:pt idx="5">
                  <c:v>24.475000000000001</c:v>
                </c:pt>
                <c:pt idx="6">
                  <c:v>24.475000000000001</c:v>
                </c:pt>
                <c:pt idx="7">
                  <c:v>24.475000000000001</c:v>
                </c:pt>
                <c:pt idx="8">
                  <c:v>24.475000000000001</c:v>
                </c:pt>
                <c:pt idx="9">
                  <c:v>24.475000000000001</c:v>
                </c:pt>
                <c:pt idx="10">
                  <c:v>24.475000000000001</c:v>
                </c:pt>
                <c:pt idx="11">
                  <c:v>24.475000000000001</c:v>
                </c:pt>
                <c:pt idx="12">
                  <c:v>24.475000000000001</c:v>
                </c:pt>
                <c:pt idx="13">
                  <c:v>24.475000000000001</c:v>
                </c:pt>
                <c:pt idx="14">
                  <c:v>24.475000000000001</c:v>
                </c:pt>
                <c:pt idx="15">
                  <c:v>24.475000000000001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E1-8948-A985-57AE68165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983"/>
        <c:axId val="1"/>
      </c:lineChart>
      <c:catAx>
        <c:axId val="159983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in val="2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9983"/>
        <c:crosses val="autoZero"/>
        <c:crossBetween val="between"/>
        <c:majorUnit val="5"/>
        <c:minorUnit val="1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300pm (#50) Individual Measurements</a:t>
            </a:r>
          </a:p>
        </c:rich>
      </c:tx>
      <c:layout>
        <c:manualLayout>
          <c:xMode val="edge"/>
          <c:yMode val="edge"/>
          <c:x val="0.36435866560562913"/>
          <c:y val="4.3689304461942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9564888384411657E-2"/>
          <c:y val="0.16181229773462782"/>
          <c:w val="0.88006053726825573"/>
          <c:h val="0.63915857605177995"/>
        </c:manualLayout>
      </c:layout>
      <c:lineChart>
        <c:grouping val="standard"/>
        <c:varyColors val="0"/>
        <c:ser>
          <c:idx val="0"/>
          <c:order val="0"/>
          <c:tx>
            <c:v>% Passing</c:v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Report!$D$164:$S$164</c:f>
              <c:numCache>
                <c:formatCode>0.00</c:formatCode>
                <c:ptCount val="16"/>
                <c:pt idx="0">
                  <c:v>17.489999999999998</c:v>
                </c:pt>
                <c:pt idx="1">
                  <c:v>21</c:v>
                </c:pt>
                <c:pt idx="2">
                  <c:v>21.18</c:v>
                </c:pt>
                <c:pt idx="3">
                  <c:v>18.14</c:v>
                </c:pt>
                <c:pt idx="4">
                  <c:v>21.75</c:v>
                </c:pt>
                <c:pt idx="5">
                  <c:v>20.12</c:v>
                </c:pt>
                <c:pt idx="6">
                  <c:v>22.28</c:v>
                </c:pt>
                <c:pt idx="7">
                  <c:v>20.77</c:v>
                </c:pt>
                <c:pt idx="8">
                  <c:v>19.350000000000001</c:v>
                </c:pt>
                <c:pt idx="9">
                  <c:v>18.63</c:v>
                </c:pt>
                <c:pt idx="10">
                  <c:v>19.690000000000001</c:v>
                </c:pt>
                <c:pt idx="11">
                  <c:v>19.88</c:v>
                </c:pt>
                <c:pt idx="12">
                  <c:v>21.3</c:v>
                </c:pt>
                <c:pt idx="13">
                  <c:v>19.91</c:v>
                </c:pt>
                <c:pt idx="14">
                  <c:v>21.86</c:v>
                </c:pt>
                <c:pt idx="15">
                  <c:v>21.1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9D-8C4D-87F8-1025C57252EB}"/>
            </c:ext>
          </c:extLst>
        </c:ser>
        <c:ser>
          <c:idx val="1"/>
          <c:order val="1"/>
          <c:tx>
            <c:v>Upper Action Limit</c:v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Report!$D$103:$S$103</c:f>
              <c:numCache>
                <c:formatCode>0.0</c:formatCode>
                <c:ptCount val="16"/>
                <c:pt idx="0">
                  <c:v>22</c:v>
                </c:pt>
                <c:pt idx="1">
                  <c:v>22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22</c:v>
                </c:pt>
                <c:pt idx="6">
                  <c:v>22</c:v>
                </c:pt>
                <c:pt idx="7">
                  <c:v>22</c:v>
                </c:pt>
                <c:pt idx="8">
                  <c:v>22</c:v>
                </c:pt>
                <c:pt idx="9">
                  <c:v>22</c:v>
                </c:pt>
                <c:pt idx="10">
                  <c:v>22</c:v>
                </c:pt>
                <c:pt idx="11">
                  <c:v>22</c:v>
                </c:pt>
                <c:pt idx="12">
                  <c:v>22</c:v>
                </c:pt>
                <c:pt idx="13">
                  <c:v>22</c:v>
                </c:pt>
                <c:pt idx="14">
                  <c:v>22</c:v>
                </c:pt>
                <c:pt idx="15">
                  <c:v>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39D-8C4D-87F8-1025C57252EB}"/>
            </c:ext>
          </c:extLst>
        </c:ser>
        <c:ser>
          <c:idx val="2"/>
          <c:order val="2"/>
          <c:tx>
            <c:v>Lower Action Limit</c:v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Report!$D$104:$S$104</c:f>
              <c:numCache>
                <c:formatCode>0.0</c:formatCode>
                <c:ptCount val="16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16</c:v>
                </c:pt>
                <c:pt idx="14">
                  <c:v>16</c:v>
                </c:pt>
                <c:pt idx="15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9D-8C4D-87F8-1025C57252EB}"/>
            </c:ext>
          </c:extLst>
        </c:ser>
        <c:ser>
          <c:idx val="3"/>
          <c:order val="3"/>
          <c:tx>
            <c:v>Upper Suspension Limit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Report!$D$105:$S$105</c:f>
              <c:numCache>
                <c:formatCode>0.0</c:formatCode>
                <c:ptCount val="16"/>
                <c:pt idx="0">
                  <c:v>24.715</c:v>
                </c:pt>
                <c:pt idx="1">
                  <c:v>24.715</c:v>
                </c:pt>
                <c:pt idx="2">
                  <c:v>24.715</c:v>
                </c:pt>
                <c:pt idx="3">
                  <c:v>24.715</c:v>
                </c:pt>
                <c:pt idx="4">
                  <c:v>24.715</c:v>
                </c:pt>
                <c:pt idx="5">
                  <c:v>24.715</c:v>
                </c:pt>
                <c:pt idx="6">
                  <c:v>24.715</c:v>
                </c:pt>
                <c:pt idx="7">
                  <c:v>24.715</c:v>
                </c:pt>
                <c:pt idx="8">
                  <c:v>24.715</c:v>
                </c:pt>
                <c:pt idx="9">
                  <c:v>24.715</c:v>
                </c:pt>
                <c:pt idx="10">
                  <c:v>24.715</c:v>
                </c:pt>
                <c:pt idx="11">
                  <c:v>24.715</c:v>
                </c:pt>
                <c:pt idx="12">
                  <c:v>24.715</c:v>
                </c:pt>
                <c:pt idx="13">
                  <c:v>24.715</c:v>
                </c:pt>
                <c:pt idx="14">
                  <c:v>24.715</c:v>
                </c:pt>
                <c:pt idx="15">
                  <c:v>24.715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9D-8C4D-87F8-1025C57252EB}"/>
            </c:ext>
          </c:extLst>
        </c:ser>
        <c:ser>
          <c:idx val="4"/>
          <c:order val="4"/>
          <c:tx>
            <c:v>Lower Suspension Limit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Report!$D$106:$S$106</c:f>
              <c:numCache>
                <c:formatCode>0.0</c:formatCode>
                <c:ptCount val="16"/>
                <c:pt idx="0">
                  <c:v>13.285</c:v>
                </c:pt>
                <c:pt idx="1">
                  <c:v>13.285</c:v>
                </c:pt>
                <c:pt idx="2">
                  <c:v>13.285</c:v>
                </c:pt>
                <c:pt idx="3">
                  <c:v>13.285</c:v>
                </c:pt>
                <c:pt idx="4">
                  <c:v>13.285</c:v>
                </c:pt>
                <c:pt idx="5">
                  <c:v>13.285</c:v>
                </c:pt>
                <c:pt idx="6">
                  <c:v>13.285</c:v>
                </c:pt>
                <c:pt idx="7">
                  <c:v>13.285</c:v>
                </c:pt>
                <c:pt idx="8">
                  <c:v>13.285</c:v>
                </c:pt>
                <c:pt idx="9">
                  <c:v>13.285</c:v>
                </c:pt>
                <c:pt idx="10">
                  <c:v>13.285</c:v>
                </c:pt>
                <c:pt idx="11">
                  <c:v>13.285</c:v>
                </c:pt>
                <c:pt idx="12">
                  <c:v>13.285</c:v>
                </c:pt>
                <c:pt idx="13">
                  <c:v>13.285</c:v>
                </c:pt>
                <c:pt idx="14">
                  <c:v>13.285</c:v>
                </c:pt>
                <c:pt idx="15">
                  <c:v>13.285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39D-8C4D-87F8-1025C5725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695"/>
        <c:axId val="1"/>
      </c:lineChart>
      <c:catAx>
        <c:axId val="109695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in val="1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9695"/>
        <c:crosses val="autoZero"/>
        <c:crossBetween val="between"/>
        <c:majorUnit val="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75pm (#200) Individual Measurements</a:t>
            </a:r>
          </a:p>
        </c:rich>
      </c:tx>
      <c:layout>
        <c:manualLayout>
          <c:xMode val="edge"/>
          <c:yMode val="edge"/>
          <c:x val="0.36435866560562913"/>
          <c:y val="4.43350831146106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8808172531214528E-2"/>
          <c:y val="0.16420361247947454"/>
          <c:w val="0.88081725312145287"/>
          <c:h val="0.64270289743193865"/>
        </c:manualLayout>
      </c:layout>
      <c:lineChart>
        <c:grouping val="standard"/>
        <c:varyColors val="0"/>
        <c:ser>
          <c:idx val="0"/>
          <c:order val="0"/>
          <c:tx>
            <c:v>% Passing</c:v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Report!$D$166:$S$166</c:f>
              <c:numCache>
                <c:formatCode>0.00</c:formatCode>
                <c:ptCount val="16"/>
                <c:pt idx="0">
                  <c:v>3.25</c:v>
                </c:pt>
                <c:pt idx="1">
                  <c:v>3.74</c:v>
                </c:pt>
                <c:pt idx="2">
                  <c:v>4.53</c:v>
                </c:pt>
                <c:pt idx="3">
                  <c:v>3.33</c:v>
                </c:pt>
                <c:pt idx="4">
                  <c:v>3.73</c:v>
                </c:pt>
                <c:pt idx="5">
                  <c:v>3.46</c:v>
                </c:pt>
                <c:pt idx="6">
                  <c:v>3.88</c:v>
                </c:pt>
                <c:pt idx="7">
                  <c:v>3.74</c:v>
                </c:pt>
                <c:pt idx="8">
                  <c:v>3.39</c:v>
                </c:pt>
                <c:pt idx="9">
                  <c:v>3.59</c:v>
                </c:pt>
                <c:pt idx="10">
                  <c:v>3.92</c:v>
                </c:pt>
                <c:pt idx="11">
                  <c:v>3.79</c:v>
                </c:pt>
                <c:pt idx="12">
                  <c:v>3.76</c:v>
                </c:pt>
                <c:pt idx="13">
                  <c:v>3.64</c:v>
                </c:pt>
                <c:pt idx="14">
                  <c:v>4.6100000000000003</c:v>
                </c:pt>
                <c:pt idx="15">
                  <c:v>4.32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7E-9C40-856F-510DFF74D25B}"/>
            </c:ext>
          </c:extLst>
        </c:ser>
        <c:ser>
          <c:idx val="1"/>
          <c:order val="1"/>
          <c:tx>
            <c:v>Upper Action Limit</c:v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Report!$D$111:$S$111</c:f>
              <c:numCache>
                <c:formatCode>0.0</c:formatCode>
                <c:ptCount val="16"/>
                <c:pt idx="0">
                  <c:v>5.0999999999999996</c:v>
                </c:pt>
                <c:pt idx="1">
                  <c:v>5.0999999999999996</c:v>
                </c:pt>
                <c:pt idx="2">
                  <c:v>5.0999999999999996</c:v>
                </c:pt>
                <c:pt idx="3">
                  <c:v>5.0999999999999996</c:v>
                </c:pt>
                <c:pt idx="4">
                  <c:v>5.0999999999999996</c:v>
                </c:pt>
                <c:pt idx="5">
                  <c:v>5.0999999999999996</c:v>
                </c:pt>
                <c:pt idx="6">
                  <c:v>5.0999999999999996</c:v>
                </c:pt>
                <c:pt idx="7">
                  <c:v>5.0999999999999996</c:v>
                </c:pt>
                <c:pt idx="8">
                  <c:v>5.0999999999999996</c:v>
                </c:pt>
                <c:pt idx="9">
                  <c:v>5.0999999999999996</c:v>
                </c:pt>
                <c:pt idx="10">
                  <c:v>5.0999999999999996</c:v>
                </c:pt>
                <c:pt idx="11">
                  <c:v>5.0999999999999996</c:v>
                </c:pt>
                <c:pt idx="12">
                  <c:v>5.0999999999999996</c:v>
                </c:pt>
                <c:pt idx="13">
                  <c:v>5.0999999999999996</c:v>
                </c:pt>
                <c:pt idx="14">
                  <c:v>5.0999999999999996</c:v>
                </c:pt>
                <c:pt idx="15">
                  <c:v>5.0999999999999996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77E-9C40-856F-510DFF74D25B}"/>
            </c:ext>
          </c:extLst>
        </c:ser>
        <c:ser>
          <c:idx val="2"/>
          <c:order val="2"/>
          <c:tx>
            <c:v>Lower Action Limit</c:v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Report!$D$112:$S$112</c:f>
              <c:numCache>
                <c:formatCode>0.0</c:formatCode>
                <c:ptCount val="16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77E-9C40-856F-510DFF74D25B}"/>
            </c:ext>
          </c:extLst>
        </c:ser>
        <c:ser>
          <c:idx val="3"/>
          <c:order val="3"/>
          <c:tx>
            <c:v>Upper Suspension Limit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Report!$D$113:$S$113</c:f>
              <c:numCache>
                <c:formatCode>0.0</c:formatCode>
                <c:ptCount val="16"/>
                <c:pt idx="0">
                  <c:v>6.91</c:v>
                </c:pt>
                <c:pt idx="1">
                  <c:v>6.91</c:v>
                </c:pt>
                <c:pt idx="2">
                  <c:v>6.91</c:v>
                </c:pt>
                <c:pt idx="3">
                  <c:v>6.91</c:v>
                </c:pt>
                <c:pt idx="4">
                  <c:v>6.91</c:v>
                </c:pt>
                <c:pt idx="5">
                  <c:v>6.91</c:v>
                </c:pt>
                <c:pt idx="6">
                  <c:v>6.91</c:v>
                </c:pt>
                <c:pt idx="7">
                  <c:v>6.91</c:v>
                </c:pt>
                <c:pt idx="8">
                  <c:v>6.91</c:v>
                </c:pt>
                <c:pt idx="9">
                  <c:v>6.91</c:v>
                </c:pt>
                <c:pt idx="10">
                  <c:v>6.91</c:v>
                </c:pt>
                <c:pt idx="11">
                  <c:v>6.91</c:v>
                </c:pt>
                <c:pt idx="12">
                  <c:v>6.91</c:v>
                </c:pt>
                <c:pt idx="13">
                  <c:v>6.91</c:v>
                </c:pt>
                <c:pt idx="14">
                  <c:v>6.91</c:v>
                </c:pt>
                <c:pt idx="15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77E-9C40-856F-510DFF74D25B}"/>
            </c:ext>
          </c:extLst>
        </c:ser>
        <c:ser>
          <c:idx val="4"/>
          <c:order val="4"/>
          <c:tx>
            <c:v>Lower Suspension Limit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Report!$D$114:$S$114</c:f>
              <c:numCache>
                <c:formatCode>0.0</c:formatCode>
                <c:ptCount val="16"/>
                <c:pt idx="0">
                  <c:v>-0.71</c:v>
                </c:pt>
                <c:pt idx="1">
                  <c:v>-0.71</c:v>
                </c:pt>
                <c:pt idx="2">
                  <c:v>-0.71</c:v>
                </c:pt>
                <c:pt idx="3">
                  <c:v>-0.71</c:v>
                </c:pt>
                <c:pt idx="4">
                  <c:v>-0.71</c:v>
                </c:pt>
                <c:pt idx="5">
                  <c:v>-0.71</c:v>
                </c:pt>
                <c:pt idx="6">
                  <c:v>-0.71</c:v>
                </c:pt>
                <c:pt idx="7">
                  <c:v>-0.71</c:v>
                </c:pt>
                <c:pt idx="8">
                  <c:v>-0.71</c:v>
                </c:pt>
                <c:pt idx="9">
                  <c:v>-0.71</c:v>
                </c:pt>
                <c:pt idx="10">
                  <c:v>-0.71</c:v>
                </c:pt>
                <c:pt idx="11">
                  <c:v>-0.71</c:v>
                </c:pt>
                <c:pt idx="12">
                  <c:v>-0.71</c:v>
                </c:pt>
                <c:pt idx="13">
                  <c:v>-0.71</c:v>
                </c:pt>
                <c:pt idx="14">
                  <c:v>-0.71</c:v>
                </c:pt>
                <c:pt idx="15">
                  <c:v>-0.71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7E-9C40-856F-510DFF74D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4120416"/>
        <c:axId val="1"/>
      </c:lineChart>
      <c:catAx>
        <c:axId val="207412041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4120416"/>
        <c:crosses val="autoZero"/>
        <c:crossBetween val="between"/>
        <c:majorUnit val="1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A.C. Content Individual Measurements</a:t>
            </a:r>
          </a:p>
        </c:rich>
      </c:tx>
      <c:layout>
        <c:manualLayout>
          <c:xMode val="edge"/>
          <c:yMode val="edge"/>
          <c:x val="0.35944002345451498"/>
          <c:y val="4.99372825489837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9186530457813092E-2"/>
          <c:y val="0.2930549857738371"/>
          <c:w val="0.8804388951948543"/>
          <c:h val="0.54143629105185376"/>
        </c:manualLayout>
      </c:layout>
      <c:lineChart>
        <c:grouping val="standard"/>
        <c:varyColors val="0"/>
        <c:ser>
          <c:idx val="0"/>
          <c:order val="0"/>
          <c:tx>
            <c:v>% A.C.</c:v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Report!$D$168:$S$168</c:f>
              <c:numCache>
                <c:formatCode>0.00</c:formatCode>
                <c:ptCount val="16"/>
                <c:pt idx="0">
                  <c:v>6.32</c:v>
                </c:pt>
                <c:pt idx="1">
                  <c:v>6.4</c:v>
                </c:pt>
                <c:pt idx="2">
                  <c:v>6.47</c:v>
                </c:pt>
                <c:pt idx="3">
                  <c:v>6.58</c:v>
                </c:pt>
                <c:pt idx="4">
                  <c:v>6.52</c:v>
                </c:pt>
                <c:pt idx="5">
                  <c:v>6.29</c:v>
                </c:pt>
                <c:pt idx="6">
                  <c:v>7.09</c:v>
                </c:pt>
                <c:pt idx="7">
                  <c:v>6.53</c:v>
                </c:pt>
                <c:pt idx="8">
                  <c:v>6.16</c:v>
                </c:pt>
                <c:pt idx="9">
                  <c:v>6.26</c:v>
                </c:pt>
                <c:pt idx="10">
                  <c:v>6.29</c:v>
                </c:pt>
                <c:pt idx="11">
                  <c:v>6.39</c:v>
                </c:pt>
                <c:pt idx="12">
                  <c:v>6.35</c:v>
                </c:pt>
                <c:pt idx="13">
                  <c:v>6.47</c:v>
                </c:pt>
                <c:pt idx="14">
                  <c:v>6.18</c:v>
                </c:pt>
                <c:pt idx="15">
                  <c:v>6.34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65-984A-9E62-880A499386FB}"/>
            </c:ext>
          </c:extLst>
        </c:ser>
        <c:ser>
          <c:idx val="1"/>
          <c:order val="1"/>
          <c:tx>
            <c:v>Upper Action Limit</c:v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Report!$D$128:$S$128</c:f>
              <c:numCache>
                <c:formatCode>0.00</c:formatCode>
                <c:ptCount val="16"/>
                <c:pt idx="0">
                  <c:v>7.15</c:v>
                </c:pt>
                <c:pt idx="1">
                  <c:v>7.15</c:v>
                </c:pt>
                <c:pt idx="2">
                  <c:v>7.15</c:v>
                </c:pt>
                <c:pt idx="3">
                  <c:v>7.15</c:v>
                </c:pt>
                <c:pt idx="4">
                  <c:v>7.15</c:v>
                </c:pt>
                <c:pt idx="5">
                  <c:v>7.15</c:v>
                </c:pt>
                <c:pt idx="6">
                  <c:v>7.15</c:v>
                </c:pt>
                <c:pt idx="7">
                  <c:v>7.15</c:v>
                </c:pt>
                <c:pt idx="8">
                  <c:v>7.15</c:v>
                </c:pt>
                <c:pt idx="9">
                  <c:v>7.15</c:v>
                </c:pt>
                <c:pt idx="10">
                  <c:v>7.15</c:v>
                </c:pt>
                <c:pt idx="11">
                  <c:v>7.15</c:v>
                </c:pt>
                <c:pt idx="12">
                  <c:v>7.15</c:v>
                </c:pt>
                <c:pt idx="13">
                  <c:v>7.15</c:v>
                </c:pt>
                <c:pt idx="14">
                  <c:v>7.15</c:v>
                </c:pt>
                <c:pt idx="15">
                  <c:v>7.15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965-984A-9E62-880A499386FB}"/>
            </c:ext>
          </c:extLst>
        </c:ser>
        <c:ser>
          <c:idx val="2"/>
          <c:order val="2"/>
          <c:tx>
            <c:v>Lower Action Limit</c:v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Report!$D$129:$S$129</c:f>
              <c:numCache>
                <c:formatCode>0.00</c:formatCode>
                <c:ptCount val="16"/>
                <c:pt idx="0">
                  <c:v>6.25</c:v>
                </c:pt>
                <c:pt idx="1">
                  <c:v>6.25</c:v>
                </c:pt>
                <c:pt idx="2">
                  <c:v>6.25</c:v>
                </c:pt>
                <c:pt idx="3">
                  <c:v>6.25</c:v>
                </c:pt>
                <c:pt idx="4">
                  <c:v>6.25</c:v>
                </c:pt>
                <c:pt idx="5">
                  <c:v>6.25</c:v>
                </c:pt>
                <c:pt idx="6">
                  <c:v>6.25</c:v>
                </c:pt>
                <c:pt idx="7">
                  <c:v>6.25</c:v>
                </c:pt>
                <c:pt idx="8">
                  <c:v>6.25</c:v>
                </c:pt>
                <c:pt idx="9">
                  <c:v>6.25</c:v>
                </c:pt>
                <c:pt idx="10">
                  <c:v>6.25</c:v>
                </c:pt>
                <c:pt idx="11">
                  <c:v>6.25</c:v>
                </c:pt>
                <c:pt idx="12">
                  <c:v>6.25</c:v>
                </c:pt>
                <c:pt idx="13">
                  <c:v>6.25</c:v>
                </c:pt>
                <c:pt idx="14">
                  <c:v>6.25</c:v>
                </c:pt>
                <c:pt idx="15">
                  <c:v>6.25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965-984A-9E62-880A499386FB}"/>
            </c:ext>
          </c:extLst>
        </c:ser>
        <c:ser>
          <c:idx val="3"/>
          <c:order val="3"/>
          <c:tx>
            <c:v>Upper Suspension Limit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Report!$D$130:$S$130</c:f>
              <c:numCache>
                <c:formatCode>0.00</c:formatCode>
                <c:ptCount val="16"/>
                <c:pt idx="0">
                  <c:v>7.5890000000000004</c:v>
                </c:pt>
                <c:pt idx="1">
                  <c:v>7.5890000000000004</c:v>
                </c:pt>
                <c:pt idx="2">
                  <c:v>7.5890000000000004</c:v>
                </c:pt>
                <c:pt idx="3">
                  <c:v>7.5890000000000004</c:v>
                </c:pt>
                <c:pt idx="4">
                  <c:v>7.5890000000000004</c:v>
                </c:pt>
                <c:pt idx="5">
                  <c:v>7.5890000000000004</c:v>
                </c:pt>
                <c:pt idx="6">
                  <c:v>7.5890000000000004</c:v>
                </c:pt>
                <c:pt idx="7">
                  <c:v>7.5890000000000004</c:v>
                </c:pt>
                <c:pt idx="8">
                  <c:v>7.5890000000000004</c:v>
                </c:pt>
                <c:pt idx="9">
                  <c:v>7.5890000000000004</c:v>
                </c:pt>
                <c:pt idx="10">
                  <c:v>7.5890000000000004</c:v>
                </c:pt>
                <c:pt idx="11">
                  <c:v>7.5890000000000004</c:v>
                </c:pt>
                <c:pt idx="12">
                  <c:v>7.5890000000000004</c:v>
                </c:pt>
                <c:pt idx="13">
                  <c:v>7.5890000000000004</c:v>
                </c:pt>
                <c:pt idx="14">
                  <c:v>7.5890000000000004</c:v>
                </c:pt>
                <c:pt idx="15">
                  <c:v>7.5890000000000004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965-984A-9E62-880A499386FB}"/>
            </c:ext>
          </c:extLst>
        </c:ser>
        <c:ser>
          <c:idx val="4"/>
          <c:order val="4"/>
          <c:tx>
            <c:v>Lower Suspension Limit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Report!$D$131:$S$131</c:f>
              <c:numCache>
                <c:formatCode>0.00</c:formatCode>
                <c:ptCount val="16"/>
                <c:pt idx="0">
                  <c:v>5.8109999999999999</c:v>
                </c:pt>
                <c:pt idx="1">
                  <c:v>5.8109999999999999</c:v>
                </c:pt>
                <c:pt idx="2">
                  <c:v>5.8109999999999999</c:v>
                </c:pt>
                <c:pt idx="3">
                  <c:v>5.8109999999999999</c:v>
                </c:pt>
                <c:pt idx="4">
                  <c:v>5.8109999999999999</c:v>
                </c:pt>
                <c:pt idx="5">
                  <c:v>5.8109999999999999</c:v>
                </c:pt>
                <c:pt idx="6">
                  <c:v>5.8109999999999999</c:v>
                </c:pt>
                <c:pt idx="7">
                  <c:v>5.8109999999999999</c:v>
                </c:pt>
                <c:pt idx="8">
                  <c:v>5.8109999999999999</c:v>
                </c:pt>
                <c:pt idx="9">
                  <c:v>5.8109999999999999</c:v>
                </c:pt>
                <c:pt idx="10">
                  <c:v>5.8109999999999999</c:v>
                </c:pt>
                <c:pt idx="11">
                  <c:v>5.8109999999999999</c:v>
                </c:pt>
                <c:pt idx="12">
                  <c:v>5.8109999999999999</c:v>
                </c:pt>
                <c:pt idx="13">
                  <c:v>5.8109999999999999</c:v>
                </c:pt>
                <c:pt idx="14">
                  <c:v>5.8109999999999999</c:v>
                </c:pt>
                <c:pt idx="15">
                  <c:v>5.8109999999999999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965-984A-9E62-880A49938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4027328"/>
        <c:axId val="1"/>
      </c:lineChart>
      <c:catAx>
        <c:axId val="20740273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in val="5.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4027328"/>
        <c:crosses val="autoZero"/>
        <c:crossBetween val="between"/>
        <c:majorUnit val="1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4096194923772826"/>
          <c:y val="0.12791109686870536"/>
          <c:w val="0.7101289998324678"/>
          <c:h val="8.721204907526095E-2"/>
        </c:manualLayout>
      </c:layout>
      <c:overlay val="0"/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A.C. Content Range</a:t>
            </a:r>
          </a:p>
        </c:rich>
      </c:tx>
      <c:layout>
        <c:manualLayout>
          <c:xMode val="edge"/>
          <c:yMode val="edge"/>
          <c:x val="0.4279227845193091"/>
          <c:y val="0.11323661199808588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0696533827948746E-2"/>
          <c:y val="0.3118052125403144"/>
          <c:w val="0.87741884472821419"/>
          <c:h val="0.58624633175465612"/>
        </c:manualLayout>
      </c:layout>
      <c:lineChart>
        <c:grouping val="standard"/>
        <c:varyColors val="0"/>
        <c:ser>
          <c:idx val="0"/>
          <c:order val="0"/>
          <c:tx>
            <c:v>A.C. Range</c:v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Report!$D$124:$S$124</c:f>
              <c:numCache>
                <c:formatCode>0.00</c:formatCode>
                <c:ptCount val="16"/>
                <c:pt idx="0">
                  <c:v>0.25999999999999979</c:v>
                </c:pt>
                <c:pt idx="1">
                  <c:v>0.25999999999999979</c:v>
                </c:pt>
                <c:pt idx="2">
                  <c:v>0.25999999999999979</c:v>
                </c:pt>
                <c:pt idx="3">
                  <c:v>0.25999999999999979</c:v>
                </c:pt>
                <c:pt idx="4">
                  <c:v>0.79999999999999982</c:v>
                </c:pt>
                <c:pt idx="5">
                  <c:v>0.79999999999999982</c:v>
                </c:pt>
                <c:pt idx="6">
                  <c:v>0.79999999999999982</c:v>
                </c:pt>
                <c:pt idx="7">
                  <c:v>0.79999999999999982</c:v>
                </c:pt>
                <c:pt idx="8">
                  <c:v>0.22999999999999954</c:v>
                </c:pt>
                <c:pt idx="9">
                  <c:v>0.22999999999999954</c:v>
                </c:pt>
                <c:pt idx="10">
                  <c:v>0.22999999999999954</c:v>
                </c:pt>
                <c:pt idx="11">
                  <c:v>0.22999999999999954</c:v>
                </c:pt>
                <c:pt idx="12">
                  <c:v>0.29000000000000004</c:v>
                </c:pt>
                <c:pt idx="13">
                  <c:v>0.29000000000000004</c:v>
                </c:pt>
                <c:pt idx="14">
                  <c:v>0.29000000000000004</c:v>
                </c:pt>
                <c:pt idx="15">
                  <c:v>0.29000000000000004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1B-CF4C-AEBC-BE189DB0D0C0}"/>
            </c:ext>
          </c:extLst>
        </c:ser>
        <c:ser>
          <c:idx val="1"/>
          <c:order val="1"/>
          <c:tx>
            <c:v>Suspension Limit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Report!$D$125:$S$125</c:f>
              <c:numCache>
                <c:formatCode>0.00</c:formatCode>
                <c:ptCount val="16"/>
                <c:pt idx="0">
                  <c:v>1.016</c:v>
                </c:pt>
                <c:pt idx="1">
                  <c:v>1.016</c:v>
                </c:pt>
                <c:pt idx="2">
                  <c:v>1.016</c:v>
                </c:pt>
                <c:pt idx="3">
                  <c:v>1.016</c:v>
                </c:pt>
                <c:pt idx="4">
                  <c:v>1.016</c:v>
                </c:pt>
                <c:pt idx="5">
                  <c:v>1.016</c:v>
                </c:pt>
                <c:pt idx="6">
                  <c:v>1.016</c:v>
                </c:pt>
                <c:pt idx="7">
                  <c:v>1.016</c:v>
                </c:pt>
                <c:pt idx="8">
                  <c:v>1.016</c:v>
                </c:pt>
                <c:pt idx="9">
                  <c:v>1.016</c:v>
                </c:pt>
                <c:pt idx="10">
                  <c:v>1.016</c:v>
                </c:pt>
                <c:pt idx="11">
                  <c:v>1.016</c:v>
                </c:pt>
                <c:pt idx="12">
                  <c:v>1.016</c:v>
                </c:pt>
                <c:pt idx="13">
                  <c:v>1.016</c:v>
                </c:pt>
                <c:pt idx="14">
                  <c:v>1.016</c:v>
                </c:pt>
                <c:pt idx="15">
                  <c:v>1.016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1B-CF4C-AEBC-BE189DB0D0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3938272"/>
        <c:axId val="1"/>
      </c:lineChart>
      <c:catAx>
        <c:axId val="2073938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393827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779957810313499"/>
          <c:y val="0.16022664984556489"/>
          <c:w val="0.23873420497504128"/>
          <c:h val="8.2875973376256129E-2"/>
        </c:manualLayout>
      </c:layout>
      <c:overlay val="0"/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12.5mm (1/2) Range</a:t>
            </a:r>
          </a:p>
        </c:rich>
      </c:tx>
      <c:layout>
        <c:manualLayout>
          <c:xMode val="edge"/>
          <c:yMode val="edge"/>
          <c:x val="0.42792280951583178"/>
          <c:y val="4.41174540682414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9186530457813092E-2"/>
          <c:y val="0.16993618444753231"/>
          <c:w val="0.8804388951948543"/>
          <c:h val="0.7286150995831403"/>
        </c:manualLayout>
      </c:layout>
      <c:lineChart>
        <c:grouping val="standard"/>
        <c:varyColors val="0"/>
        <c:ser>
          <c:idx val="0"/>
          <c:order val="0"/>
          <c:tx>
            <c:v>% Passing Range</c:v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Report!$D$47:$S$47</c:f>
              <c:numCache>
                <c:formatCode>0.00</c:formatCode>
                <c:ptCount val="16"/>
                <c:pt idx="0">
                  <c:v>3.0400000000000063</c:v>
                </c:pt>
                <c:pt idx="1">
                  <c:v>3.0400000000000063</c:v>
                </c:pt>
                <c:pt idx="2">
                  <c:v>3.0400000000000063</c:v>
                </c:pt>
                <c:pt idx="3">
                  <c:v>3.0400000000000063</c:v>
                </c:pt>
                <c:pt idx="4">
                  <c:v>2.3299999999999983</c:v>
                </c:pt>
                <c:pt idx="5">
                  <c:v>2.3299999999999983</c:v>
                </c:pt>
                <c:pt idx="6">
                  <c:v>2.3299999999999983</c:v>
                </c:pt>
                <c:pt idx="7">
                  <c:v>2.3299999999999983</c:v>
                </c:pt>
                <c:pt idx="8">
                  <c:v>1.2199999999999989</c:v>
                </c:pt>
                <c:pt idx="9">
                  <c:v>1.2199999999999989</c:v>
                </c:pt>
                <c:pt idx="10">
                  <c:v>1.2199999999999989</c:v>
                </c:pt>
                <c:pt idx="11">
                  <c:v>1.2199999999999989</c:v>
                </c:pt>
                <c:pt idx="12">
                  <c:v>1.5900000000000034</c:v>
                </c:pt>
                <c:pt idx="13">
                  <c:v>1.5900000000000034</c:v>
                </c:pt>
                <c:pt idx="14">
                  <c:v>1.5900000000000034</c:v>
                </c:pt>
                <c:pt idx="15">
                  <c:v>1.5900000000000034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CC-C542-84F3-693F9D9176B1}"/>
            </c:ext>
          </c:extLst>
        </c:ser>
        <c:ser>
          <c:idx val="3"/>
          <c:order val="1"/>
          <c:tx>
            <c:v>Suspension Limit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Report!$D$48:$S$48</c:f>
              <c:numCache>
                <c:formatCode>0.0</c:formatCode>
                <c:ptCount val="16"/>
                <c:pt idx="0">
                  <c:v>13.97</c:v>
                </c:pt>
                <c:pt idx="1">
                  <c:v>13.97</c:v>
                </c:pt>
                <c:pt idx="2">
                  <c:v>13.97</c:v>
                </c:pt>
                <c:pt idx="3">
                  <c:v>13.97</c:v>
                </c:pt>
                <c:pt idx="4">
                  <c:v>13.97</c:v>
                </c:pt>
                <c:pt idx="5">
                  <c:v>13.97</c:v>
                </c:pt>
                <c:pt idx="6">
                  <c:v>13.97</c:v>
                </c:pt>
                <c:pt idx="7">
                  <c:v>13.97</c:v>
                </c:pt>
                <c:pt idx="8">
                  <c:v>13.97</c:v>
                </c:pt>
                <c:pt idx="9">
                  <c:v>13.97</c:v>
                </c:pt>
                <c:pt idx="10">
                  <c:v>13.97</c:v>
                </c:pt>
                <c:pt idx="11">
                  <c:v>13.97</c:v>
                </c:pt>
                <c:pt idx="12">
                  <c:v>13.97</c:v>
                </c:pt>
                <c:pt idx="13">
                  <c:v>13.97</c:v>
                </c:pt>
                <c:pt idx="14">
                  <c:v>13.97</c:v>
                </c:pt>
                <c:pt idx="15">
                  <c:v>13.97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CC-C542-84F3-693F9D917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5266800"/>
        <c:axId val="1"/>
      </c:lineChart>
      <c:catAx>
        <c:axId val="21352668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3526680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9.5mm (3/8) Range</a:t>
            </a:r>
          </a:p>
        </c:rich>
      </c:tx>
      <c:layout>
        <c:manualLayout>
          <c:xMode val="edge"/>
          <c:yMode val="edge"/>
          <c:x val="0.43246314290500926"/>
          <c:y val="4.39025590551181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9876273978806E-2"/>
          <c:y val="0.16260213814736568"/>
          <c:w val="0.87892546348846012"/>
          <c:h val="0.73644401766852319"/>
        </c:manualLayout>
      </c:layout>
      <c:lineChart>
        <c:grouping val="standard"/>
        <c:varyColors val="0"/>
        <c:ser>
          <c:idx val="0"/>
          <c:order val="0"/>
          <c:tx>
            <c:v>% Passing Range</c:v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Report!$D$50:$S$50</c:f>
              <c:numCache>
                <c:formatCode>0.00</c:formatCode>
                <c:ptCount val="16"/>
                <c:pt idx="0">
                  <c:v>5.3200000000000074</c:v>
                </c:pt>
                <c:pt idx="1">
                  <c:v>5.3200000000000074</c:v>
                </c:pt>
                <c:pt idx="2">
                  <c:v>5.3200000000000074</c:v>
                </c:pt>
                <c:pt idx="3">
                  <c:v>5.3200000000000074</c:v>
                </c:pt>
                <c:pt idx="4">
                  <c:v>2.5499999999999972</c:v>
                </c:pt>
                <c:pt idx="5">
                  <c:v>2.5499999999999972</c:v>
                </c:pt>
                <c:pt idx="6">
                  <c:v>2.5499999999999972</c:v>
                </c:pt>
                <c:pt idx="7">
                  <c:v>2.5499999999999972</c:v>
                </c:pt>
                <c:pt idx="8">
                  <c:v>6.25</c:v>
                </c:pt>
                <c:pt idx="9">
                  <c:v>6.25</c:v>
                </c:pt>
                <c:pt idx="10">
                  <c:v>6.25</c:v>
                </c:pt>
                <c:pt idx="11">
                  <c:v>6.25</c:v>
                </c:pt>
                <c:pt idx="12">
                  <c:v>1.1700000000000017</c:v>
                </c:pt>
                <c:pt idx="13">
                  <c:v>1.1700000000000017</c:v>
                </c:pt>
                <c:pt idx="14">
                  <c:v>1.1700000000000017</c:v>
                </c:pt>
                <c:pt idx="15">
                  <c:v>1.1700000000000017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AC-0040-A5EF-9AA3CFED35A4}"/>
            </c:ext>
          </c:extLst>
        </c:ser>
        <c:ser>
          <c:idx val="3"/>
          <c:order val="1"/>
          <c:tx>
            <c:v>Suspension Limit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Report!$D$51:$S$51</c:f>
              <c:numCache>
                <c:formatCode>0.0</c:formatCode>
                <c:ptCount val="16"/>
                <c:pt idx="0">
                  <c:v>13.97</c:v>
                </c:pt>
                <c:pt idx="1">
                  <c:v>13.97</c:v>
                </c:pt>
                <c:pt idx="2">
                  <c:v>13.97</c:v>
                </c:pt>
                <c:pt idx="3">
                  <c:v>13.97</c:v>
                </c:pt>
                <c:pt idx="4">
                  <c:v>13.97</c:v>
                </c:pt>
                <c:pt idx="5">
                  <c:v>13.97</c:v>
                </c:pt>
                <c:pt idx="6">
                  <c:v>13.97</c:v>
                </c:pt>
                <c:pt idx="7">
                  <c:v>13.97</c:v>
                </c:pt>
                <c:pt idx="8">
                  <c:v>13.97</c:v>
                </c:pt>
                <c:pt idx="9">
                  <c:v>13.97</c:v>
                </c:pt>
                <c:pt idx="10">
                  <c:v>13.97</c:v>
                </c:pt>
                <c:pt idx="11">
                  <c:v>13.97</c:v>
                </c:pt>
                <c:pt idx="12">
                  <c:v>13.97</c:v>
                </c:pt>
                <c:pt idx="13">
                  <c:v>13.97</c:v>
                </c:pt>
                <c:pt idx="14">
                  <c:v>13.97</c:v>
                </c:pt>
                <c:pt idx="15">
                  <c:v>13.97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AC-0040-A5EF-9AA3CFED3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3391"/>
        <c:axId val="1"/>
      </c:lineChart>
      <c:catAx>
        <c:axId val="2383391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83391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4.75mm (#4) Range</a:t>
            </a:r>
          </a:p>
        </c:rich>
      </c:tx>
      <c:layout>
        <c:manualLayout>
          <c:xMode val="edge"/>
          <c:yMode val="edge"/>
          <c:x val="0.43019297621042046"/>
          <c:y val="4.45542646330047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9564888384411657E-2"/>
          <c:y val="0.15841636132117148"/>
          <c:w val="0.87854710556186155"/>
          <c:h val="0.73913047997713155"/>
        </c:manualLayout>
      </c:layout>
      <c:lineChart>
        <c:grouping val="standard"/>
        <c:varyColors val="0"/>
        <c:ser>
          <c:idx val="0"/>
          <c:order val="0"/>
          <c:tx>
            <c:v>% Passing Range</c:v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Report!$D$53:$S$53</c:f>
              <c:numCache>
                <c:formatCode>0.00</c:formatCode>
                <c:ptCount val="16"/>
                <c:pt idx="0">
                  <c:v>2.5900000000000034</c:v>
                </c:pt>
                <c:pt idx="1">
                  <c:v>2.5900000000000034</c:v>
                </c:pt>
                <c:pt idx="2">
                  <c:v>2.5900000000000034</c:v>
                </c:pt>
                <c:pt idx="3">
                  <c:v>2.5900000000000034</c:v>
                </c:pt>
                <c:pt idx="4">
                  <c:v>2.019999999999996</c:v>
                </c:pt>
                <c:pt idx="5">
                  <c:v>2.019999999999996</c:v>
                </c:pt>
                <c:pt idx="6">
                  <c:v>2.019999999999996</c:v>
                </c:pt>
                <c:pt idx="7">
                  <c:v>2.019999999999996</c:v>
                </c:pt>
                <c:pt idx="8">
                  <c:v>6.6099999999999923</c:v>
                </c:pt>
                <c:pt idx="9">
                  <c:v>6.6099999999999923</c:v>
                </c:pt>
                <c:pt idx="10">
                  <c:v>6.6099999999999923</c:v>
                </c:pt>
                <c:pt idx="11">
                  <c:v>6.6099999999999923</c:v>
                </c:pt>
                <c:pt idx="12">
                  <c:v>5.6700000000000017</c:v>
                </c:pt>
                <c:pt idx="13">
                  <c:v>5.6700000000000017</c:v>
                </c:pt>
                <c:pt idx="14">
                  <c:v>5.6700000000000017</c:v>
                </c:pt>
                <c:pt idx="15">
                  <c:v>5.6700000000000017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66-004A-ACA0-25594702AA12}"/>
            </c:ext>
          </c:extLst>
        </c:ser>
        <c:ser>
          <c:idx val="4"/>
          <c:order val="1"/>
          <c:tx>
            <c:v>Suspension Limit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Report!$D$54:$S$54</c:f>
              <c:numCache>
                <c:formatCode>0.0</c:formatCode>
                <c:ptCount val="16"/>
                <c:pt idx="0">
                  <c:v>13.97</c:v>
                </c:pt>
                <c:pt idx="1">
                  <c:v>13.97</c:v>
                </c:pt>
                <c:pt idx="2">
                  <c:v>13.97</c:v>
                </c:pt>
                <c:pt idx="3">
                  <c:v>13.97</c:v>
                </c:pt>
                <c:pt idx="4">
                  <c:v>13.97</c:v>
                </c:pt>
                <c:pt idx="5">
                  <c:v>13.97</c:v>
                </c:pt>
                <c:pt idx="6">
                  <c:v>13.97</c:v>
                </c:pt>
                <c:pt idx="7">
                  <c:v>13.97</c:v>
                </c:pt>
                <c:pt idx="8">
                  <c:v>13.97</c:v>
                </c:pt>
                <c:pt idx="9">
                  <c:v>13.97</c:v>
                </c:pt>
                <c:pt idx="10">
                  <c:v>13.97</c:v>
                </c:pt>
                <c:pt idx="11">
                  <c:v>13.97</c:v>
                </c:pt>
                <c:pt idx="12">
                  <c:v>13.97</c:v>
                </c:pt>
                <c:pt idx="13">
                  <c:v>13.97</c:v>
                </c:pt>
                <c:pt idx="14">
                  <c:v>13.97</c:v>
                </c:pt>
                <c:pt idx="15">
                  <c:v>13.97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66-004A-ACA0-25594702A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2183216"/>
        <c:axId val="1"/>
      </c:lineChart>
      <c:catAx>
        <c:axId val="210218321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021832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1.18mm (#16) Range</a:t>
            </a:r>
          </a:p>
        </c:rich>
      </c:tx>
      <c:layout>
        <c:manualLayout>
          <c:xMode val="edge"/>
          <c:yMode val="edge"/>
          <c:x val="0.42678777852236555"/>
          <c:y val="4.41174540682414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9564888384411657E-2"/>
          <c:y val="0.16340023673511397"/>
          <c:w val="0.88006053726825573"/>
          <c:h val="0.73515104729555869"/>
        </c:manualLayout>
      </c:layout>
      <c:lineChart>
        <c:grouping val="standard"/>
        <c:varyColors val="0"/>
        <c:ser>
          <c:idx val="0"/>
          <c:order val="0"/>
          <c:tx>
            <c:v>% Passing Range</c:v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Report!$D$59:$S$59</c:f>
              <c:numCache>
                <c:formatCode>0.00</c:formatCode>
                <c:ptCount val="16"/>
                <c:pt idx="0">
                  <c:v>5.1000000000000014</c:v>
                </c:pt>
                <c:pt idx="1">
                  <c:v>5.1000000000000014</c:v>
                </c:pt>
                <c:pt idx="2">
                  <c:v>5.1000000000000014</c:v>
                </c:pt>
                <c:pt idx="3">
                  <c:v>5.1000000000000014</c:v>
                </c:pt>
                <c:pt idx="4">
                  <c:v>4.2299999999999969</c:v>
                </c:pt>
                <c:pt idx="5">
                  <c:v>4.2299999999999969</c:v>
                </c:pt>
                <c:pt idx="6">
                  <c:v>4.2299999999999969</c:v>
                </c:pt>
                <c:pt idx="7">
                  <c:v>4.2299999999999969</c:v>
                </c:pt>
                <c:pt idx="8">
                  <c:v>2.379999999999999</c:v>
                </c:pt>
                <c:pt idx="9">
                  <c:v>2.379999999999999</c:v>
                </c:pt>
                <c:pt idx="10">
                  <c:v>2.379999999999999</c:v>
                </c:pt>
                <c:pt idx="11">
                  <c:v>2.379999999999999</c:v>
                </c:pt>
                <c:pt idx="12">
                  <c:v>1.1000000000000014</c:v>
                </c:pt>
                <c:pt idx="13">
                  <c:v>1.1000000000000014</c:v>
                </c:pt>
                <c:pt idx="14">
                  <c:v>1.1000000000000014</c:v>
                </c:pt>
                <c:pt idx="15">
                  <c:v>1.1000000000000014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3D-CD44-9561-1CB03B99856E}"/>
            </c:ext>
          </c:extLst>
        </c:ser>
        <c:ser>
          <c:idx val="4"/>
          <c:order val="1"/>
          <c:tx>
            <c:v>Suspension Limit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Report!$D$60:$S$60</c:f>
              <c:numCache>
                <c:formatCode>0.0</c:formatCode>
                <c:ptCount val="16"/>
                <c:pt idx="0">
                  <c:v>11.43</c:v>
                </c:pt>
                <c:pt idx="1">
                  <c:v>11.43</c:v>
                </c:pt>
                <c:pt idx="2">
                  <c:v>11.43</c:v>
                </c:pt>
                <c:pt idx="3">
                  <c:v>11.43</c:v>
                </c:pt>
                <c:pt idx="4">
                  <c:v>11.43</c:v>
                </c:pt>
                <c:pt idx="5">
                  <c:v>11.43</c:v>
                </c:pt>
                <c:pt idx="6">
                  <c:v>11.43</c:v>
                </c:pt>
                <c:pt idx="7">
                  <c:v>11.43</c:v>
                </c:pt>
                <c:pt idx="8">
                  <c:v>11.43</c:v>
                </c:pt>
                <c:pt idx="9">
                  <c:v>11.43</c:v>
                </c:pt>
                <c:pt idx="10">
                  <c:v>11.43</c:v>
                </c:pt>
                <c:pt idx="11">
                  <c:v>11.43</c:v>
                </c:pt>
                <c:pt idx="12">
                  <c:v>11.43</c:v>
                </c:pt>
                <c:pt idx="13">
                  <c:v>11.43</c:v>
                </c:pt>
                <c:pt idx="14">
                  <c:v>11.43</c:v>
                </c:pt>
                <c:pt idx="15">
                  <c:v>11.43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3D-CD44-9561-1CB03B998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99535"/>
        <c:axId val="1"/>
      </c:lineChart>
      <c:catAx>
        <c:axId val="2299535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99535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300pm (#50) Range</a:t>
            </a:r>
          </a:p>
        </c:rich>
      </c:tx>
      <c:layout>
        <c:manualLayout>
          <c:xMode val="edge"/>
          <c:yMode val="edge"/>
          <c:x val="0.43132800720388675"/>
          <c:y val="4.50000000000000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8808172531214528E-2"/>
          <c:y val="0.16235294117647062"/>
          <c:w val="0.8793038214150587"/>
          <c:h val="0.73619834285420205"/>
        </c:manualLayout>
      </c:layout>
      <c:lineChart>
        <c:grouping val="standard"/>
        <c:varyColors val="0"/>
        <c:ser>
          <c:idx val="0"/>
          <c:order val="0"/>
          <c:tx>
            <c:v>% Passing Range</c:v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Report!$D$65:$S$65</c:f>
              <c:numCache>
                <c:formatCode>0.00</c:formatCode>
                <c:ptCount val="16"/>
                <c:pt idx="0">
                  <c:v>3.6900000000000013</c:v>
                </c:pt>
                <c:pt idx="1">
                  <c:v>3.6900000000000013</c:v>
                </c:pt>
                <c:pt idx="2">
                  <c:v>3.6900000000000013</c:v>
                </c:pt>
                <c:pt idx="3">
                  <c:v>3.6900000000000013</c:v>
                </c:pt>
                <c:pt idx="4">
                  <c:v>2.16</c:v>
                </c:pt>
                <c:pt idx="5">
                  <c:v>2.16</c:v>
                </c:pt>
                <c:pt idx="6">
                  <c:v>2.16</c:v>
                </c:pt>
                <c:pt idx="7">
                  <c:v>2.16</c:v>
                </c:pt>
                <c:pt idx="8">
                  <c:v>1.25</c:v>
                </c:pt>
                <c:pt idx="9">
                  <c:v>1.25</c:v>
                </c:pt>
                <c:pt idx="10">
                  <c:v>1.25</c:v>
                </c:pt>
                <c:pt idx="11">
                  <c:v>1.25</c:v>
                </c:pt>
                <c:pt idx="12">
                  <c:v>1.9499999999999993</c:v>
                </c:pt>
                <c:pt idx="13">
                  <c:v>1.9499999999999993</c:v>
                </c:pt>
                <c:pt idx="14">
                  <c:v>1.9499999999999993</c:v>
                </c:pt>
                <c:pt idx="15">
                  <c:v>1.9499999999999993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A-924A-857A-46BB5B51C673}"/>
            </c:ext>
          </c:extLst>
        </c:ser>
        <c:ser>
          <c:idx val="4"/>
          <c:order val="1"/>
          <c:tx>
            <c:v>Suspension Limit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Report!$D$66:$S$66</c:f>
              <c:numCache>
                <c:formatCode>0.0</c:formatCode>
                <c:ptCount val="16"/>
                <c:pt idx="0">
                  <c:v>7.62</c:v>
                </c:pt>
                <c:pt idx="1">
                  <c:v>7.62</c:v>
                </c:pt>
                <c:pt idx="2">
                  <c:v>7.62</c:v>
                </c:pt>
                <c:pt idx="3">
                  <c:v>7.62</c:v>
                </c:pt>
                <c:pt idx="4">
                  <c:v>7.62</c:v>
                </c:pt>
                <c:pt idx="5">
                  <c:v>7.62</c:v>
                </c:pt>
                <c:pt idx="6">
                  <c:v>7.62</c:v>
                </c:pt>
                <c:pt idx="7">
                  <c:v>7.62</c:v>
                </c:pt>
                <c:pt idx="8">
                  <c:v>7.62</c:v>
                </c:pt>
                <c:pt idx="9">
                  <c:v>7.62</c:v>
                </c:pt>
                <c:pt idx="10">
                  <c:v>7.62</c:v>
                </c:pt>
                <c:pt idx="11">
                  <c:v>7.62</c:v>
                </c:pt>
                <c:pt idx="12">
                  <c:v>7.62</c:v>
                </c:pt>
                <c:pt idx="13">
                  <c:v>7.62</c:v>
                </c:pt>
                <c:pt idx="14">
                  <c:v>7.62</c:v>
                </c:pt>
                <c:pt idx="15">
                  <c:v>7.62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4A-924A-857A-46BB5B51C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19055"/>
        <c:axId val="1"/>
      </c:lineChart>
      <c:catAx>
        <c:axId val="7519055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19055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75pm (#200) Range</a:t>
            </a:r>
          </a:p>
        </c:rich>
      </c:tx>
      <c:layout>
        <c:manualLayout>
          <c:xMode val="edge"/>
          <c:yMode val="edge"/>
          <c:x val="0.43132800720388675"/>
          <c:y val="4.43350831146106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8808172531214528E-2"/>
          <c:y val="0.16420361247947454"/>
          <c:w val="0.88081725312145287"/>
          <c:h val="0.73384792418189104"/>
        </c:manualLayout>
      </c:layout>
      <c:lineChart>
        <c:grouping val="standard"/>
        <c:varyColors val="0"/>
        <c:ser>
          <c:idx val="0"/>
          <c:order val="0"/>
          <c:tx>
            <c:v>% Passing range</c:v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Report!$D$71:$S$71</c:f>
              <c:numCache>
                <c:formatCode>0.00</c:formatCode>
                <c:ptCount val="16"/>
                <c:pt idx="0">
                  <c:v>1.2800000000000002</c:v>
                </c:pt>
                <c:pt idx="1">
                  <c:v>1.2800000000000002</c:v>
                </c:pt>
                <c:pt idx="2">
                  <c:v>1.2800000000000002</c:v>
                </c:pt>
                <c:pt idx="3">
                  <c:v>1.2800000000000002</c:v>
                </c:pt>
                <c:pt idx="4">
                  <c:v>0.41999999999999993</c:v>
                </c:pt>
                <c:pt idx="5">
                  <c:v>0.41999999999999993</c:v>
                </c:pt>
                <c:pt idx="6">
                  <c:v>0.41999999999999993</c:v>
                </c:pt>
                <c:pt idx="7">
                  <c:v>0.41999999999999993</c:v>
                </c:pt>
                <c:pt idx="8">
                  <c:v>0.5299999999999998</c:v>
                </c:pt>
                <c:pt idx="9">
                  <c:v>0.5299999999999998</c:v>
                </c:pt>
                <c:pt idx="10">
                  <c:v>0.5299999999999998</c:v>
                </c:pt>
                <c:pt idx="11">
                  <c:v>0.5299999999999998</c:v>
                </c:pt>
                <c:pt idx="12">
                  <c:v>0.9700000000000002</c:v>
                </c:pt>
                <c:pt idx="13">
                  <c:v>0.9700000000000002</c:v>
                </c:pt>
                <c:pt idx="14">
                  <c:v>0.9700000000000002</c:v>
                </c:pt>
                <c:pt idx="15">
                  <c:v>0.9700000000000002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1A-1A41-8EDC-A4192832F197}"/>
            </c:ext>
          </c:extLst>
        </c:ser>
        <c:ser>
          <c:idx val="4"/>
          <c:order val="1"/>
          <c:tx>
            <c:v>Suspension Limit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Report!$D$72:$S$72</c:f>
              <c:numCache>
                <c:formatCode>0.0</c:formatCode>
                <c:ptCount val="16"/>
                <c:pt idx="0">
                  <c:v>4.4450000000000003</c:v>
                </c:pt>
                <c:pt idx="1">
                  <c:v>4.4450000000000003</c:v>
                </c:pt>
                <c:pt idx="2">
                  <c:v>4.4450000000000003</c:v>
                </c:pt>
                <c:pt idx="3">
                  <c:v>4.4450000000000003</c:v>
                </c:pt>
                <c:pt idx="4">
                  <c:v>4.4450000000000003</c:v>
                </c:pt>
                <c:pt idx="5">
                  <c:v>4.4450000000000003</c:v>
                </c:pt>
                <c:pt idx="6">
                  <c:v>4.4450000000000003</c:v>
                </c:pt>
                <c:pt idx="7">
                  <c:v>4.4450000000000003</c:v>
                </c:pt>
                <c:pt idx="8">
                  <c:v>4.4450000000000003</c:v>
                </c:pt>
                <c:pt idx="9">
                  <c:v>4.4450000000000003</c:v>
                </c:pt>
                <c:pt idx="10">
                  <c:v>4.4450000000000003</c:v>
                </c:pt>
                <c:pt idx="11">
                  <c:v>4.4450000000000003</c:v>
                </c:pt>
                <c:pt idx="12">
                  <c:v>4.4450000000000003</c:v>
                </c:pt>
                <c:pt idx="13">
                  <c:v>4.4450000000000003</c:v>
                </c:pt>
                <c:pt idx="14">
                  <c:v>4.4450000000000003</c:v>
                </c:pt>
                <c:pt idx="15">
                  <c:v>4.4450000000000003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1A-1A41-8EDC-A4192832F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39775"/>
        <c:axId val="1"/>
      </c:lineChart>
      <c:catAx>
        <c:axId val="7639775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39775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Voids in Mineral Aggregate</a:t>
            </a:r>
          </a:p>
        </c:rich>
      </c:tx>
      <c:layout>
        <c:manualLayout>
          <c:xMode val="edge"/>
          <c:yMode val="edge"/>
          <c:x val="0.40074270557029179"/>
          <c:y val="3.447426806455822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0696533827948809E-2"/>
          <c:y val="0.23304295823781521"/>
          <c:w val="0.87741884472821419"/>
          <c:h val="0.60074996954494608"/>
        </c:manualLayout>
      </c:layout>
      <c:lineChart>
        <c:grouping val="standard"/>
        <c:varyColors val="0"/>
        <c:ser>
          <c:idx val="0"/>
          <c:order val="0"/>
          <c:tx>
            <c:v>Action Limit</c:v>
          </c:tx>
          <c:spPr>
            <a:ln w="31750">
              <a:solidFill>
                <a:srgbClr val="FF99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Report!$D$118:$S$118</c:f>
              <c:numCache>
                <c:formatCode>0.0</c:formatCode>
                <c:ptCount val="16"/>
                <c:pt idx="0">
                  <c:v>13.5</c:v>
                </c:pt>
                <c:pt idx="1">
                  <c:v>13.5</c:v>
                </c:pt>
                <c:pt idx="2">
                  <c:v>13.5</c:v>
                </c:pt>
                <c:pt idx="3">
                  <c:v>13.5</c:v>
                </c:pt>
                <c:pt idx="4">
                  <c:v>13.5</c:v>
                </c:pt>
                <c:pt idx="5">
                  <c:v>13.5</c:v>
                </c:pt>
                <c:pt idx="6">
                  <c:v>13.5</c:v>
                </c:pt>
                <c:pt idx="7">
                  <c:v>13.5</c:v>
                </c:pt>
                <c:pt idx="8">
                  <c:v>13.5</c:v>
                </c:pt>
                <c:pt idx="9">
                  <c:v>13.5</c:v>
                </c:pt>
                <c:pt idx="10">
                  <c:v>13.5</c:v>
                </c:pt>
                <c:pt idx="11">
                  <c:v>13.5</c:v>
                </c:pt>
                <c:pt idx="12">
                  <c:v>13.5</c:v>
                </c:pt>
                <c:pt idx="13">
                  <c:v>13.5</c:v>
                </c:pt>
                <c:pt idx="14">
                  <c:v>13.5</c:v>
                </c:pt>
                <c:pt idx="15">
                  <c:v>13.5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52-914D-BDC5-2CCCFD883A68}"/>
            </c:ext>
          </c:extLst>
        </c:ser>
        <c:ser>
          <c:idx val="1"/>
          <c:order val="1"/>
          <c:tx>
            <c:v>Suspension Limit</c:v>
          </c:tx>
          <c:spPr>
            <a:ln w="31750">
              <a:solidFill>
                <a:srgbClr val="FF0000"/>
              </a:solidFill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Report!$D$120:$S$120</c:f>
              <c:numCache>
                <c:formatCode>0.0</c:formatCode>
                <c:ptCount val="16"/>
                <c:pt idx="0">
                  <c:v>13.23</c:v>
                </c:pt>
                <c:pt idx="1">
                  <c:v>13.23</c:v>
                </c:pt>
                <c:pt idx="2">
                  <c:v>13.23</c:v>
                </c:pt>
                <c:pt idx="3">
                  <c:v>13.23</c:v>
                </c:pt>
                <c:pt idx="4">
                  <c:v>13.23</c:v>
                </c:pt>
                <c:pt idx="5">
                  <c:v>13.23</c:v>
                </c:pt>
                <c:pt idx="6">
                  <c:v>13.23</c:v>
                </c:pt>
                <c:pt idx="7">
                  <c:v>13.23</c:v>
                </c:pt>
                <c:pt idx="8">
                  <c:v>13.23</c:v>
                </c:pt>
                <c:pt idx="9">
                  <c:v>13.23</c:v>
                </c:pt>
                <c:pt idx="10">
                  <c:v>13.23</c:v>
                </c:pt>
                <c:pt idx="11">
                  <c:v>13.23</c:v>
                </c:pt>
                <c:pt idx="12">
                  <c:v>13.23</c:v>
                </c:pt>
                <c:pt idx="13">
                  <c:v>13.23</c:v>
                </c:pt>
                <c:pt idx="14">
                  <c:v>13.23</c:v>
                </c:pt>
                <c:pt idx="15">
                  <c:v>13.23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52-914D-BDC5-2CCCFD883A68}"/>
            </c:ext>
          </c:extLst>
        </c:ser>
        <c:ser>
          <c:idx val="2"/>
          <c:order val="2"/>
          <c:tx>
            <c:v>Voids in Mineral Aggregate</c:v>
          </c:tx>
          <c:spPr>
            <a:ln w="31750">
              <a:solidFill>
                <a:srgbClr val="1D5AD3"/>
              </a:solidFill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Report!$D$6:$S$7</c:f>
              <c:multiLvlStrCache>
                <c:ptCount val="16"/>
                <c:lvl>
                  <c:pt idx="0">
                    <c:v>1-1</c:v>
                  </c:pt>
                  <c:pt idx="1">
                    <c:v>1-2</c:v>
                  </c:pt>
                  <c:pt idx="2">
                    <c:v>1-3</c:v>
                  </c:pt>
                  <c:pt idx="3">
                    <c:v>1-4</c:v>
                  </c:pt>
                  <c:pt idx="4">
                    <c:v>2-1</c:v>
                  </c:pt>
                  <c:pt idx="5">
                    <c:v>2-2</c:v>
                  </c:pt>
                  <c:pt idx="6">
                    <c:v>2-3</c:v>
                  </c:pt>
                  <c:pt idx="7">
                    <c:v>2-4</c:v>
                  </c:pt>
                  <c:pt idx="8">
                    <c:v>3-1</c:v>
                  </c:pt>
                  <c:pt idx="9">
                    <c:v>3-2</c:v>
                  </c:pt>
                  <c:pt idx="10">
                    <c:v>3-3</c:v>
                  </c:pt>
                  <c:pt idx="11">
                    <c:v>3-4</c:v>
                  </c:pt>
                  <c:pt idx="12">
                    <c:v>4-1</c:v>
                  </c:pt>
                  <c:pt idx="13">
                    <c:v>4-2</c:v>
                  </c:pt>
                  <c:pt idx="14">
                    <c:v>4-3</c:v>
                  </c:pt>
                  <c:pt idx="15">
                    <c:v>4-4</c:v>
                  </c:pt>
                </c:lvl>
                <c:lvl>
                  <c:pt idx="0">
                    <c:v>8/2/21</c:v>
                  </c:pt>
                  <c:pt idx="1">
                    <c:v>8/23/21</c:v>
                  </c:pt>
                  <c:pt idx="2">
                    <c:v>8/24/21</c:v>
                  </c:pt>
                  <c:pt idx="3">
                    <c:v>8/24/21</c:v>
                  </c:pt>
                  <c:pt idx="4">
                    <c:v>11/15/21</c:v>
                  </c:pt>
                  <c:pt idx="5">
                    <c:v>11/15/22</c:v>
                  </c:pt>
                  <c:pt idx="6">
                    <c:v>11/16/21</c:v>
                  </c:pt>
                  <c:pt idx="7">
                    <c:v>11/16/21</c:v>
                  </c:pt>
                  <c:pt idx="8">
                    <c:v>11/22/21</c:v>
                  </c:pt>
                  <c:pt idx="9">
                    <c:v>11/22/21</c:v>
                  </c:pt>
                  <c:pt idx="10">
                    <c:v>11/23/21</c:v>
                  </c:pt>
                  <c:pt idx="11">
                    <c:v>11/23/21</c:v>
                  </c:pt>
                  <c:pt idx="12">
                    <c:v>11/24/21</c:v>
                  </c:pt>
                  <c:pt idx="13">
                    <c:v>11/24/21</c:v>
                  </c:pt>
                  <c:pt idx="14">
                    <c:v>11/29/21</c:v>
                  </c:pt>
                  <c:pt idx="15">
                    <c:v>11/30/21</c:v>
                  </c:pt>
                </c:lvl>
              </c:multiLvlStrCache>
            </c:multiLvlStrRef>
          </c:cat>
          <c:val>
            <c:numRef>
              <c:f>Report!$D$23:$S$23</c:f>
              <c:numCache>
                <c:formatCode>0.00</c:formatCode>
                <c:ptCount val="16"/>
                <c:pt idx="0">
                  <c:v>14.58</c:v>
                </c:pt>
                <c:pt idx="1">
                  <c:v>13.99</c:v>
                </c:pt>
                <c:pt idx="2">
                  <c:v>13.83</c:v>
                </c:pt>
                <c:pt idx="3">
                  <c:v>14.23</c:v>
                </c:pt>
                <c:pt idx="4">
                  <c:v>14.66</c:v>
                </c:pt>
                <c:pt idx="5">
                  <c:v>15.26</c:v>
                </c:pt>
                <c:pt idx="6">
                  <c:v>15.18</c:v>
                </c:pt>
                <c:pt idx="7">
                  <c:v>14.63</c:v>
                </c:pt>
                <c:pt idx="8">
                  <c:v>14.67</c:v>
                </c:pt>
                <c:pt idx="9">
                  <c:v>14.83</c:v>
                </c:pt>
                <c:pt idx="10">
                  <c:v>14.78</c:v>
                </c:pt>
                <c:pt idx="11">
                  <c:v>15.17</c:v>
                </c:pt>
                <c:pt idx="12">
                  <c:v>14.61</c:v>
                </c:pt>
                <c:pt idx="13">
                  <c:v>15.21</c:v>
                </c:pt>
                <c:pt idx="14">
                  <c:v>13.94</c:v>
                </c:pt>
                <c:pt idx="15">
                  <c:v>13.97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452-914D-BDC5-2CCCFD883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16943"/>
        <c:axId val="1"/>
      </c:lineChart>
      <c:catAx>
        <c:axId val="74169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16943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8117577643643349"/>
          <c:y val="0.10497629094705704"/>
          <c:w val="0.42972148541114058"/>
          <c:h val="8.2875973376256157E-2"/>
        </c:manualLayout>
      </c:layout>
      <c:overlay val="0"/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12700</xdr:colOff>
      <xdr:row>5</xdr:row>
      <xdr:rowOff>0</xdr:rowOff>
    </xdr:from>
    <xdr:to>
      <xdr:col>19</xdr:col>
      <xdr:colOff>533400</xdr:colOff>
      <xdr:row>18</xdr:row>
      <xdr:rowOff>50800</xdr:rowOff>
    </xdr:to>
    <xdr:graphicFrame macro="">
      <xdr:nvGraphicFramePr>
        <xdr:cNvPr id="3137738" name="Chart 3">
          <a:extLst>
            <a:ext uri="{FF2B5EF4-FFF2-40B4-BE49-F238E27FC236}">
              <a16:creationId xmlns:a16="http://schemas.microsoft.com/office/drawing/2014/main" id="{FA57F56E-70EA-1771-7A4B-F01FB6448A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12700</xdr:colOff>
      <xdr:row>30</xdr:row>
      <xdr:rowOff>50800</xdr:rowOff>
    </xdr:from>
    <xdr:to>
      <xdr:col>19</xdr:col>
      <xdr:colOff>533400</xdr:colOff>
      <xdr:row>42</xdr:row>
      <xdr:rowOff>76200</xdr:rowOff>
    </xdr:to>
    <xdr:graphicFrame macro="">
      <xdr:nvGraphicFramePr>
        <xdr:cNvPr id="3137739" name="Chart 4">
          <a:extLst>
            <a:ext uri="{FF2B5EF4-FFF2-40B4-BE49-F238E27FC236}">
              <a16:creationId xmlns:a16="http://schemas.microsoft.com/office/drawing/2014/main" id="{6DD438FD-6F0C-48C0-DC73-2EE885B254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12700</xdr:colOff>
      <xdr:row>54</xdr:row>
      <xdr:rowOff>50800</xdr:rowOff>
    </xdr:from>
    <xdr:to>
      <xdr:col>19</xdr:col>
      <xdr:colOff>533400</xdr:colOff>
      <xdr:row>66</xdr:row>
      <xdr:rowOff>63500</xdr:rowOff>
    </xdr:to>
    <xdr:graphicFrame macro="">
      <xdr:nvGraphicFramePr>
        <xdr:cNvPr id="3137740" name="Chart 5">
          <a:extLst>
            <a:ext uri="{FF2B5EF4-FFF2-40B4-BE49-F238E27FC236}">
              <a16:creationId xmlns:a16="http://schemas.microsoft.com/office/drawing/2014/main" id="{DF31496F-59A6-F83C-B681-5CEE27CE3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</xdr:col>
      <xdr:colOff>12700</xdr:colOff>
      <xdr:row>78</xdr:row>
      <xdr:rowOff>50800</xdr:rowOff>
    </xdr:from>
    <xdr:to>
      <xdr:col>19</xdr:col>
      <xdr:colOff>533400</xdr:colOff>
      <xdr:row>90</xdr:row>
      <xdr:rowOff>50800</xdr:rowOff>
    </xdr:to>
    <xdr:graphicFrame macro="">
      <xdr:nvGraphicFramePr>
        <xdr:cNvPr id="3137741" name="Chart 7">
          <a:extLst>
            <a:ext uri="{FF2B5EF4-FFF2-40B4-BE49-F238E27FC236}">
              <a16:creationId xmlns:a16="http://schemas.microsoft.com/office/drawing/2014/main" id="{FC8A6D31-D9D1-1DA0-3341-E8A8097C44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</xdr:col>
      <xdr:colOff>12700</xdr:colOff>
      <xdr:row>102</xdr:row>
      <xdr:rowOff>50800</xdr:rowOff>
    </xdr:from>
    <xdr:to>
      <xdr:col>19</xdr:col>
      <xdr:colOff>533400</xdr:colOff>
      <xdr:row>114</xdr:row>
      <xdr:rowOff>50800</xdr:rowOff>
    </xdr:to>
    <xdr:graphicFrame macro="">
      <xdr:nvGraphicFramePr>
        <xdr:cNvPr id="3137742" name="Chart 9">
          <a:extLst>
            <a:ext uri="{FF2B5EF4-FFF2-40B4-BE49-F238E27FC236}">
              <a16:creationId xmlns:a16="http://schemas.microsoft.com/office/drawing/2014/main" id="{C27D7919-6077-B6B6-14D9-B1FB4FF034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</xdr:col>
      <xdr:colOff>12700</xdr:colOff>
      <xdr:row>126</xdr:row>
      <xdr:rowOff>50800</xdr:rowOff>
    </xdr:from>
    <xdr:to>
      <xdr:col>19</xdr:col>
      <xdr:colOff>533400</xdr:colOff>
      <xdr:row>138</xdr:row>
      <xdr:rowOff>50800</xdr:rowOff>
    </xdr:to>
    <xdr:graphicFrame macro="">
      <xdr:nvGraphicFramePr>
        <xdr:cNvPr id="3137743" name="Chart 11">
          <a:extLst>
            <a:ext uri="{FF2B5EF4-FFF2-40B4-BE49-F238E27FC236}">
              <a16:creationId xmlns:a16="http://schemas.microsoft.com/office/drawing/2014/main" id="{BF41E964-6FEF-FA32-688D-CBEBD689BA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</xdr:col>
      <xdr:colOff>12700</xdr:colOff>
      <xdr:row>150</xdr:row>
      <xdr:rowOff>50800</xdr:rowOff>
    </xdr:from>
    <xdr:to>
      <xdr:col>19</xdr:col>
      <xdr:colOff>533400</xdr:colOff>
      <xdr:row>164</xdr:row>
      <xdr:rowOff>63500</xdr:rowOff>
    </xdr:to>
    <xdr:graphicFrame macro="">
      <xdr:nvGraphicFramePr>
        <xdr:cNvPr id="3137744" name="Chart 12">
          <a:extLst>
            <a:ext uri="{FF2B5EF4-FFF2-40B4-BE49-F238E27FC236}">
              <a16:creationId xmlns:a16="http://schemas.microsoft.com/office/drawing/2014/main" id="{74CAE6DC-7A4A-990F-2595-79C7DECA62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</xdr:col>
      <xdr:colOff>0</xdr:colOff>
      <xdr:row>164</xdr:row>
      <xdr:rowOff>63500</xdr:rowOff>
    </xdr:from>
    <xdr:to>
      <xdr:col>19</xdr:col>
      <xdr:colOff>546100</xdr:colOff>
      <xdr:row>178</xdr:row>
      <xdr:rowOff>50800</xdr:rowOff>
    </xdr:to>
    <xdr:graphicFrame macro="">
      <xdr:nvGraphicFramePr>
        <xdr:cNvPr id="3137745" name="Chart 21">
          <a:extLst>
            <a:ext uri="{FF2B5EF4-FFF2-40B4-BE49-F238E27FC236}">
              <a16:creationId xmlns:a16="http://schemas.microsoft.com/office/drawing/2014/main" id="{EE348A93-32D0-1081-D43F-2E62A04FC8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1</xdr:col>
      <xdr:colOff>12700</xdr:colOff>
      <xdr:row>18</xdr:row>
      <xdr:rowOff>50800</xdr:rowOff>
    </xdr:from>
    <xdr:to>
      <xdr:col>19</xdr:col>
      <xdr:colOff>533400</xdr:colOff>
      <xdr:row>30</xdr:row>
      <xdr:rowOff>50800</xdr:rowOff>
    </xdr:to>
    <xdr:graphicFrame macro="">
      <xdr:nvGraphicFramePr>
        <xdr:cNvPr id="3137746" name="Chart 24">
          <a:extLst>
            <a:ext uri="{FF2B5EF4-FFF2-40B4-BE49-F238E27FC236}">
              <a16:creationId xmlns:a16="http://schemas.microsoft.com/office/drawing/2014/main" id="{2D1485D6-F5A0-1E39-24FD-F3B576FEF9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1</xdr:col>
      <xdr:colOff>12700</xdr:colOff>
      <xdr:row>42</xdr:row>
      <xdr:rowOff>50800</xdr:rowOff>
    </xdr:from>
    <xdr:to>
      <xdr:col>19</xdr:col>
      <xdr:colOff>533400</xdr:colOff>
      <xdr:row>54</xdr:row>
      <xdr:rowOff>50800</xdr:rowOff>
    </xdr:to>
    <xdr:graphicFrame macro="">
      <xdr:nvGraphicFramePr>
        <xdr:cNvPr id="3137747" name="Chart 27">
          <a:extLst>
            <a:ext uri="{FF2B5EF4-FFF2-40B4-BE49-F238E27FC236}">
              <a16:creationId xmlns:a16="http://schemas.microsoft.com/office/drawing/2014/main" id="{FBEB6417-ED03-4455-94A8-ED9FA3C3E6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1</xdr:col>
      <xdr:colOff>12700</xdr:colOff>
      <xdr:row>66</xdr:row>
      <xdr:rowOff>63500</xdr:rowOff>
    </xdr:from>
    <xdr:to>
      <xdr:col>19</xdr:col>
      <xdr:colOff>533400</xdr:colOff>
      <xdr:row>78</xdr:row>
      <xdr:rowOff>50800</xdr:rowOff>
    </xdr:to>
    <xdr:graphicFrame macro="">
      <xdr:nvGraphicFramePr>
        <xdr:cNvPr id="3137748" name="Chart 28">
          <a:extLst>
            <a:ext uri="{FF2B5EF4-FFF2-40B4-BE49-F238E27FC236}">
              <a16:creationId xmlns:a16="http://schemas.microsoft.com/office/drawing/2014/main" id="{28420299-411E-0CA2-CBCE-A4B8CA034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1</xdr:col>
      <xdr:colOff>12700</xdr:colOff>
      <xdr:row>90</xdr:row>
      <xdr:rowOff>50800</xdr:rowOff>
    </xdr:from>
    <xdr:to>
      <xdr:col>19</xdr:col>
      <xdr:colOff>533400</xdr:colOff>
      <xdr:row>102</xdr:row>
      <xdr:rowOff>50800</xdr:rowOff>
    </xdr:to>
    <xdr:graphicFrame macro="">
      <xdr:nvGraphicFramePr>
        <xdr:cNvPr id="3137749" name="Chart 29">
          <a:extLst>
            <a:ext uri="{FF2B5EF4-FFF2-40B4-BE49-F238E27FC236}">
              <a16:creationId xmlns:a16="http://schemas.microsoft.com/office/drawing/2014/main" id="{B5B26046-B1E8-041C-6451-C18ECED66E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1</xdr:col>
      <xdr:colOff>12700</xdr:colOff>
      <xdr:row>114</xdr:row>
      <xdr:rowOff>50800</xdr:rowOff>
    </xdr:from>
    <xdr:to>
      <xdr:col>19</xdr:col>
      <xdr:colOff>533400</xdr:colOff>
      <xdr:row>126</xdr:row>
      <xdr:rowOff>50800</xdr:rowOff>
    </xdr:to>
    <xdr:graphicFrame macro="">
      <xdr:nvGraphicFramePr>
        <xdr:cNvPr id="3137750" name="Chart 38">
          <a:extLst>
            <a:ext uri="{FF2B5EF4-FFF2-40B4-BE49-F238E27FC236}">
              <a16:creationId xmlns:a16="http://schemas.microsoft.com/office/drawing/2014/main" id="{8CB20D7F-E24A-E272-6A72-7F10E7044F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1</xdr:col>
      <xdr:colOff>12700</xdr:colOff>
      <xdr:row>138</xdr:row>
      <xdr:rowOff>50800</xdr:rowOff>
    </xdr:from>
    <xdr:to>
      <xdr:col>19</xdr:col>
      <xdr:colOff>533400</xdr:colOff>
      <xdr:row>150</xdr:row>
      <xdr:rowOff>50800</xdr:rowOff>
    </xdr:to>
    <xdr:graphicFrame macro="">
      <xdr:nvGraphicFramePr>
        <xdr:cNvPr id="3137751" name="Chart 41">
          <a:extLst>
            <a:ext uri="{FF2B5EF4-FFF2-40B4-BE49-F238E27FC236}">
              <a16:creationId xmlns:a16="http://schemas.microsoft.com/office/drawing/2014/main" id="{B92F4BB0-CB85-1B48-AACC-C7B67BB662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1</xdr:col>
      <xdr:colOff>0</xdr:colOff>
      <xdr:row>178</xdr:row>
      <xdr:rowOff>63500</xdr:rowOff>
    </xdr:from>
    <xdr:to>
      <xdr:col>19</xdr:col>
      <xdr:colOff>546100</xdr:colOff>
      <xdr:row>192</xdr:row>
      <xdr:rowOff>50800</xdr:rowOff>
    </xdr:to>
    <xdr:graphicFrame macro="">
      <xdr:nvGraphicFramePr>
        <xdr:cNvPr id="3137752" name="Chart 21">
          <a:extLst>
            <a:ext uri="{FF2B5EF4-FFF2-40B4-BE49-F238E27FC236}">
              <a16:creationId xmlns:a16="http://schemas.microsoft.com/office/drawing/2014/main" id="{1BDB50B1-BBD2-A75C-9970-56729A39BA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S172"/>
  <sheetViews>
    <sheetView tabSelected="1" zoomScale="95" zoomScaleNormal="95" workbookViewId="0">
      <selection activeCell="V24" sqref="V24"/>
    </sheetView>
  </sheetViews>
  <sheetFormatPr baseColWidth="10" defaultColWidth="9.1640625" defaultRowHeight="13" x14ac:dyDescent="0.15"/>
  <cols>
    <col min="1" max="1" width="2.83203125" style="1" customWidth="1"/>
    <col min="2" max="3" width="8.33203125" style="14" customWidth="1"/>
    <col min="4" max="19" width="8.6640625" style="1" customWidth="1"/>
    <col min="20" max="20" width="3" style="1" customWidth="1"/>
    <col min="21" max="16384" width="9.1640625" style="1"/>
  </cols>
  <sheetData>
    <row r="2" spans="2:19" x14ac:dyDescent="0.15">
      <c r="B2" s="219" t="s">
        <v>41</v>
      </c>
      <c r="C2" s="219"/>
      <c r="D2" s="220" t="s">
        <v>52</v>
      </c>
      <c r="E2" s="220"/>
      <c r="F2" s="220"/>
      <c r="G2" s="220"/>
      <c r="H2" s="220"/>
      <c r="I2" s="220"/>
      <c r="J2" s="220"/>
    </row>
    <row r="3" spans="2:19" x14ac:dyDescent="0.15">
      <c r="B3" s="137"/>
      <c r="C3" s="137"/>
      <c r="D3" s="138"/>
      <c r="E3" s="138"/>
      <c r="F3" s="138"/>
      <c r="G3" s="138"/>
      <c r="H3" s="138"/>
      <c r="I3" s="138"/>
      <c r="J3" s="138"/>
    </row>
    <row r="4" spans="2:19" x14ac:dyDescent="0.15">
      <c r="B4" s="219" t="s">
        <v>42</v>
      </c>
      <c r="C4" s="219"/>
      <c r="D4" s="140" t="s">
        <v>43</v>
      </c>
      <c r="E4" s="139"/>
      <c r="F4" s="139"/>
      <c r="G4" s="139"/>
      <c r="H4" s="139"/>
      <c r="I4" s="139"/>
      <c r="J4" s="139"/>
    </row>
    <row r="5" spans="2:19" ht="14" customHeight="1" thickBot="1" x14ac:dyDescent="0.2"/>
    <row r="6" spans="2:19" ht="14" customHeight="1" thickBot="1" x14ac:dyDescent="0.2">
      <c r="B6" s="175" t="s">
        <v>0</v>
      </c>
      <c r="C6" s="223"/>
      <c r="D6" s="142">
        <v>44410</v>
      </c>
      <c r="E6" s="143">
        <v>44431</v>
      </c>
      <c r="F6" s="143">
        <v>44432</v>
      </c>
      <c r="G6" s="144">
        <v>44432</v>
      </c>
      <c r="H6" s="142">
        <v>44515</v>
      </c>
      <c r="I6" s="143">
        <v>44880</v>
      </c>
      <c r="J6" s="143">
        <v>44516</v>
      </c>
      <c r="K6" s="144">
        <v>44516</v>
      </c>
      <c r="L6" s="142">
        <v>44522</v>
      </c>
      <c r="M6" s="143">
        <v>44522</v>
      </c>
      <c r="N6" s="143">
        <v>44523</v>
      </c>
      <c r="O6" s="144">
        <v>44523</v>
      </c>
      <c r="P6" s="142">
        <v>44524</v>
      </c>
      <c r="Q6" s="143">
        <v>44524</v>
      </c>
      <c r="R6" s="143">
        <v>44529</v>
      </c>
      <c r="S6" s="144">
        <v>44530</v>
      </c>
    </row>
    <row r="7" spans="2:19" ht="14" customHeight="1" thickBot="1" x14ac:dyDescent="0.2">
      <c r="B7" s="221" t="s">
        <v>48</v>
      </c>
      <c r="C7" s="222"/>
      <c r="D7" s="145" t="s">
        <v>44</v>
      </c>
      <c r="E7" s="146" t="s">
        <v>45</v>
      </c>
      <c r="F7" s="146" t="s">
        <v>46</v>
      </c>
      <c r="G7" s="147" t="s">
        <v>47</v>
      </c>
      <c r="H7" s="145" t="s">
        <v>53</v>
      </c>
      <c r="I7" s="146" t="s">
        <v>54</v>
      </c>
      <c r="J7" s="146" t="s">
        <v>55</v>
      </c>
      <c r="K7" s="147" t="s">
        <v>56</v>
      </c>
      <c r="L7" s="145" t="s">
        <v>57</v>
      </c>
      <c r="M7" s="146" t="s">
        <v>58</v>
      </c>
      <c r="N7" s="146" t="s">
        <v>59</v>
      </c>
      <c r="O7" s="147" t="s">
        <v>60</v>
      </c>
      <c r="P7" s="145" t="s">
        <v>61</v>
      </c>
      <c r="Q7" s="146" t="s">
        <v>62</v>
      </c>
      <c r="R7" s="146" t="s">
        <v>63</v>
      </c>
      <c r="S7" s="147" t="s">
        <v>64</v>
      </c>
    </row>
    <row r="8" spans="2:19" ht="14" customHeight="1" thickBot="1" x14ac:dyDescent="0.2">
      <c r="B8" s="183" t="s">
        <v>22</v>
      </c>
      <c r="C8" s="184"/>
      <c r="D8" s="148"/>
      <c r="E8" s="149"/>
      <c r="F8" s="149"/>
      <c r="G8" s="150"/>
      <c r="H8" s="148"/>
      <c r="I8" s="149"/>
      <c r="J8" s="149"/>
      <c r="K8" s="150"/>
      <c r="L8" s="148"/>
      <c r="M8" s="149"/>
      <c r="N8" s="149"/>
      <c r="O8" s="150"/>
      <c r="P8" s="148"/>
      <c r="Q8" s="149"/>
      <c r="R8" s="149"/>
      <c r="S8" s="151"/>
    </row>
    <row r="9" spans="2:19" ht="14" customHeight="1" thickBot="1" x14ac:dyDescent="0.2"/>
    <row r="10" spans="2:19" ht="14" customHeight="1" x14ac:dyDescent="0.15">
      <c r="B10" s="190" t="s">
        <v>2</v>
      </c>
      <c r="C10" s="191"/>
      <c r="D10" s="17">
        <v>100</v>
      </c>
      <c r="E10" s="18">
        <v>100</v>
      </c>
      <c r="F10" s="18">
        <v>100</v>
      </c>
      <c r="G10" s="18">
        <v>100</v>
      </c>
      <c r="H10" s="17">
        <v>100</v>
      </c>
      <c r="I10" s="18">
        <v>100</v>
      </c>
      <c r="J10" s="18">
        <v>100</v>
      </c>
      <c r="K10" s="19">
        <v>100</v>
      </c>
      <c r="L10" s="17">
        <v>100</v>
      </c>
      <c r="M10" s="18">
        <v>100</v>
      </c>
      <c r="N10" s="18">
        <v>100</v>
      </c>
      <c r="O10" s="19">
        <v>100</v>
      </c>
      <c r="P10" s="17">
        <v>100</v>
      </c>
      <c r="Q10" s="18">
        <v>100</v>
      </c>
      <c r="R10" s="19">
        <v>100</v>
      </c>
      <c r="S10" s="101">
        <v>100</v>
      </c>
    </row>
    <row r="11" spans="2:19" ht="14" customHeight="1" x14ac:dyDescent="0.15">
      <c r="B11" s="177" t="s">
        <v>3</v>
      </c>
      <c r="C11" s="178"/>
      <c r="D11" s="20">
        <v>97.73</v>
      </c>
      <c r="E11" s="21">
        <v>97.28</v>
      </c>
      <c r="F11" s="21">
        <v>94.69</v>
      </c>
      <c r="G11" s="22">
        <v>95.45</v>
      </c>
      <c r="H11" s="20">
        <v>98.25</v>
      </c>
      <c r="I11" s="21">
        <v>97.08</v>
      </c>
      <c r="J11" s="21">
        <v>95.92</v>
      </c>
      <c r="K11" s="21">
        <v>96.54</v>
      </c>
      <c r="L11" s="20">
        <v>94.9</v>
      </c>
      <c r="M11" s="23">
        <v>95.8</v>
      </c>
      <c r="N11" s="23">
        <v>96.06</v>
      </c>
      <c r="O11" s="22">
        <v>96.12</v>
      </c>
      <c r="P11" s="20">
        <v>95.14</v>
      </c>
      <c r="Q11" s="23">
        <v>95.67</v>
      </c>
      <c r="R11" s="23">
        <v>96.39</v>
      </c>
      <c r="S11" s="22">
        <v>94.8</v>
      </c>
    </row>
    <row r="12" spans="2:19" ht="14" customHeight="1" x14ac:dyDescent="0.15">
      <c r="B12" s="177" t="s">
        <v>4</v>
      </c>
      <c r="C12" s="178"/>
      <c r="D12" s="20">
        <v>90</v>
      </c>
      <c r="E12" s="21">
        <v>90.18</v>
      </c>
      <c r="F12" s="21">
        <v>86.48</v>
      </c>
      <c r="G12" s="22">
        <v>84.86</v>
      </c>
      <c r="H12" s="20">
        <v>91.39</v>
      </c>
      <c r="I12" s="21">
        <v>89.36</v>
      </c>
      <c r="J12" s="21">
        <v>90.25</v>
      </c>
      <c r="K12" s="23">
        <v>88.84</v>
      </c>
      <c r="L12" s="20">
        <v>82.99</v>
      </c>
      <c r="M12" s="23">
        <v>86.89</v>
      </c>
      <c r="N12" s="23">
        <v>87.69</v>
      </c>
      <c r="O12" s="22">
        <v>89.24</v>
      </c>
      <c r="P12" s="20">
        <v>88.2</v>
      </c>
      <c r="Q12" s="23">
        <v>87.03</v>
      </c>
      <c r="R12" s="23">
        <v>87.49</v>
      </c>
      <c r="S12" s="22">
        <v>87.9</v>
      </c>
    </row>
    <row r="13" spans="2:19" ht="14" customHeight="1" x14ac:dyDescent="0.15">
      <c r="B13" s="177" t="s">
        <v>5</v>
      </c>
      <c r="C13" s="178"/>
      <c r="D13" s="20">
        <v>66.290000000000006</v>
      </c>
      <c r="E13" s="21">
        <v>64.17</v>
      </c>
      <c r="F13" s="21">
        <v>63.7</v>
      </c>
      <c r="G13" s="22">
        <v>64.45</v>
      </c>
      <c r="H13" s="20">
        <v>66.819999999999993</v>
      </c>
      <c r="I13" s="21">
        <v>67.12</v>
      </c>
      <c r="J13" s="21">
        <v>68.69</v>
      </c>
      <c r="K13" s="23">
        <v>66.67</v>
      </c>
      <c r="L13" s="20">
        <v>61.1</v>
      </c>
      <c r="M13" s="23">
        <v>64.31</v>
      </c>
      <c r="N13" s="23">
        <v>64.790000000000006</v>
      </c>
      <c r="O13" s="22">
        <v>67.709999999999994</v>
      </c>
      <c r="P13" s="20">
        <v>67</v>
      </c>
      <c r="Q13" s="23">
        <v>71.09</v>
      </c>
      <c r="R13" s="23">
        <v>65.42</v>
      </c>
      <c r="S13" s="22">
        <v>69.61</v>
      </c>
    </row>
    <row r="14" spans="2:19" ht="14" customHeight="1" x14ac:dyDescent="0.15">
      <c r="B14" s="177" t="s">
        <v>6</v>
      </c>
      <c r="C14" s="178"/>
      <c r="D14" s="20">
        <v>41.63</v>
      </c>
      <c r="E14" s="21">
        <v>45.15</v>
      </c>
      <c r="F14" s="21">
        <v>44.99</v>
      </c>
      <c r="G14" s="22">
        <v>42.27</v>
      </c>
      <c r="H14" s="20">
        <v>47.41</v>
      </c>
      <c r="I14" s="21">
        <v>45.31</v>
      </c>
      <c r="J14" s="21">
        <v>49.44</v>
      </c>
      <c r="K14" s="23">
        <v>46.41</v>
      </c>
      <c r="L14" s="20">
        <v>43.13</v>
      </c>
      <c r="M14" s="23">
        <v>42.69</v>
      </c>
      <c r="N14" s="23">
        <v>44.44</v>
      </c>
      <c r="O14" s="22">
        <v>45.18</v>
      </c>
      <c r="P14" s="20">
        <v>46.22</v>
      </c>
      <c r="Q14" s="23">
        <v>46.78</v>
      </c>
      <c r="R14" s="23">
        <v>45.65</v>
      </c>
      <c r="S14" s="22">
        <v>47.49</v>
      </c>
    </row>
    <row r="15" spans="2:19" ht="14" customHeight="1" x14ac:dyDescent="0.15">
      <c r="B15" s="177" t="s">
        <v>7</v>
      </c>
      <c r="C15" s="178"/>
      <c r="D15" s="20">
        <v>30.4</v>
      </c>
      <c r="E15" s="21">
        <v>35.17</v>
      </c>
      <c r="F15" s="21">
        <v>35.5</v>
      </c>
      <c r="G15" s="22">
        <v>31.23</v>
      </c>
      <c r="H15" s="20">
        <v>36.47</v>
      </c>
      <c r="I15" s="21">
        <v>34.64</v>
      </c>
      <c r="J15" s="21">
        <v>38.869999999999997</v>
      </c>
      <c r="K15" s="23">
        <v>35.56</v>
      </c>
      <c r="L15" s="20">
        <v>34.29</v>
      </c>
      <c r="M15" s="23">
        <v>31.91</v>
      </c>
      <c r="N15" s="23">
        <v>34.24</v>
      </c>
      <c r="O15" s="22">
        <v>33.78</v>
      </c>
      <c r="P15" s="20">
        <v>35.5</v>
      </c>
      <c r="Q15" s="23">
        <v>35.18</v>
      </c>
      <c r="R15" s="23">
        <v>35.65</v>
      </c>
      <c r="S15" s="22">
        <v>36.28</v>
      </c>
    </row>
    <row r="16" spans="2:19" ht="14" customHeight="1" x14ac:dyDescent="0.15">
      <c r="B16" s="177" t="s">
        <v>8</v>
      </c>
      <c r="C16" s="178"/>
      <c r="D16" s="20">
        <v>25.09</v>
      </c>
      <c r="E16" s="21">
        <v>29.8</v>
      </c>
      <c r="F16" s="21">
        <v>29.86</v>
      </c>
      <c r="G16" s="22">
        <v>25.75</v>
      </c>
      <c r="H16" s="20">
        <v>29.92</v>
      </c>
      <c r="I16" s="21">
        <v>28.14</v>
      </c>
      <c r="J16" s="21">
        <v>32.49</v>
      </c>
      <c r="K16" s="23">
        <v>29.43</v>
      </c>
      <c r="L16" s="20">
        <v>28.53</v>
      </c>
      <c r="M16" s="23">
        <v>26.37</v>
      </c>
      <c r="N16" s="23">
        <v>28.11</v>
      </c>
      <c r="O16" s="22">
        <v>28.13</v>
      </c>
      <c r="P16" s="20">
        <v>29.57</v>
      </c>
      <c r="Q16" s="23">
        <v>27.81</v>
      </c>
      <c r="R16" s="23">
        <v>30.31</v>
      </c>
      <c r="S16" s="22">
        <v>30.16</v>
      </c>
    </row>
    <row r="17" spans="2:19" ht="14" customHeight="1" x14ac:dyDescent="0.15">
      <c r="B17" s="177" t="s">
        <v>9</v>
      </c>
      <c r="C17" s="178"/>
      <c r="D17" s="20">
        <v>17.489999999999998</v>
      </c>
      <c r="E17" s="21">
        <v>21</v>
      </c>
      <c r="F17" s="21">
        <v>21.18</v>
      </c>
      <c r="G17" s="22">
        <v>18.14</v>
      </c>
      <c r="H17" s="20">
        <v>21.75</v>
      </c>
      <c r="I17" s="21">
        <v>20.12</v>
      </c>
      <c r="J17" s="21">
        <v>22.28</v>
      </c>
      <c r="K17" s="23">
        <v>20.77</v>
      </c>
      <c r="L17" s="20">
        <v>19.350000000000001</v>
      </c>
      <c r="M17" s="23">
        <v>18.63</v>
      </c>
      <c r="N17" s="23">
        <v>19.690000000000001</v>
      </c>
      <c r="O17" s="22">
        <v>19.88</v>
      </c>
      <c r="P17" s="20">
        <v>21.3</v>
      </c>
      <c r="Q17" s="23">
        <v>19.91</v>
      </c>
      <c r="R17" s="23">
        <v>21.86</v>
      </c>
      <c r="S17" s="22">
        <v>21.1</v>
      </c>
    </row>
    <row r="18" spans="2:19" ht="14" customHeight="1" x14ac:dyDescent="0.15">
      <c r="B18" s="177" t="s">
        <v>10</v>
      </c>
      <c r="C18" s="178"/>
      <c r="D18" s="20">
        <v>7.49</v>
      </c>
      <c r="E18" s="21">
        <v>8.6999999999999993</v>
      </c>
      <c r="F18" s="21">
        <v>9.61</v>
      </c>
      <c r="G18" s="22">
        <v>7.61</v>
      </c>
      <c r="H18" s="20">
        <v>8.5500000000000007</v>
      </c>
      <c r="I18" s="21">
        <v>7.52</v>
      </c>
      <c r="J18" s="21">
        <v>8.56</v>
      </c>
      <c r="K18" s="23">
        <v>8.3000000000000007</v>
      </c>
      <c r="L18" s="20">
        <v>7.85</v>
      </c>
      <c r="M18" s="23">
        <v>8.1</v>
      </c>
      <c r="N18" s="23">
        <v>8.74</v>
      </c>
      <c r="O18" s="22">
        <v>8.34</v>
      </c>
      <c r="P18" s="20">
        <v>8.5</v>
      </c>
      <c r="Q18" s="23">
        <v>7.92</v>
      </c>
      <c r="R18" s="23">
        <v>9.82</v>
      </c>
      <c r="S18" s="22">
        <v>7.86</v>
      </c>
    </row>
    <row r="19" spans="2:19" ht="14" customHeight="1" thickBot="1" x14ac:dyDescent="0.2">
      <c r="B19" s="179" t="s">
        <v>11</v>
      </c>
      <c r="C19" s="180"/>
      <c r="D19" s="24">
        <v>3.25</v>
      </c>
      <c r="E19" s="25">
        <v>3.74</v>
      </c>
      <c r="F19" s="25">
        <v>4.53</v>
      </c>
      <c r="G19" s="26">
        <v>3.33</v>
      </c>
      <c r="H19" s="24">
        <v>3.73</v>
      </c>
      <c r="I19" s="25">
        <v>3.46</v>
      </c>
      <c r="J19" s="25">
        <v>3.88</v>
      </c>
      <c r="K19" s="27">
        <v>3.74</v>
      </c>
      <c r="L19" s="24">
        <v>3.39</v>
      </c>
      <c r="M19" s="27">
        <v>3.59</v>
      </c>
      <c r="N19" s="27">
        <v>3.92</v>
      </c>
      <c r="O19" s="26">
        <v>3.79</v>
      </c>
      <c r="P19" s="24">
        <v>3.76</v>
      </c>
      <c r="Q19" s="27">
        <v>3.64</v>
      </c>
      <c r="R19" s="27">
        <v>4.6100000000000003</v>
      </c>
      <c r="S19" s="26">
        <v>4.32</v>
      </c>
    </row>
    <row r="20" spans="2:19" ht="14" customHeight="1" thickBot="1" x14ac:dyDescent="0.2">
      <c r="B20" s="15"/>
      <c r="C20" s="15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2:19" ht="14" customHeight="1" thickBot="1" x14ac:dyDescent="0.2">
      <c r="B21" s="173" t="s">
        <v>12</v>
      </c>
      <c r="C21" s="174"/>
      <c r="D21" s="61">
        <v>6.32</v>
      </c>
      <c r="E21" s="62">
        <v>6.4</v>
      </c>
      <c r="F21" s="62">
        <v>6.47</v>
      </c>
      <c r="G21" s="63">
        <v>6.58</v>
      </c>
      <c r="H21" s="61">
        <v>6.52</v>
      </c>
      <c r="I21" s="62">
        <v>6.29</v>
      </c>
      <c r="J21" s="62">
        <v>7.09</v>
      </c>
      <c r="K21" s="59">
        <v>6.53</v>
      </c>
      <c r="L21" s="61">
        <v>6.16</v>
      </c>
      <c r="M21" s="62">
        <v>6.26</v>
      </c>
      <c r="N21" s="62">
        <v>6.29</v>
      </c>
      <c r="O21" s="63">
        <v>6.39</v>
      </c>
      <c r="P21" s="61">
        <v>6.35</v>
      </c>
      <c r="Q21" s="62">
        <v>6.47</v>
      </c>
      <c r="R21" s="62">
        <v>6.18</v>
      </c>
      <c r="S21" s="63">
        <v>6.34</v>
      </c>
    </row>
    <row r="22" spans="2:19" ht="14" customHeight="1" thickBot="1" x14ac:dyDescent="0.2">
      <c r="B22" s="106"/>
      <c r="C22" s="106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</row>
    <row r="23" spans="2:19" ht="14" customHeight="1" thickBot="1" x14ac:dyDescent="0.2">
      <c r="B23" s="175" t="s">
        <v>49</v>
      </c>
      <c r="C23" s="176"/>
      <c r="D23" s="61">
        <v>14.58</v>
      </c>
      <c r="E23" s="62">
        <v>13.99</v>
      </c>
      <c r="F23" s="62">
        <v>13.83</v>
      </c>
      <c r="G23" s="59">
        <v>14.23</v>
      </c>
      <c r="H23" s="61">
        <v>14.66</v>
      </c>
      <c r="I23" s="62">
        <v>15.26</v>
      </c>
      <c r="J23" s="62">
        <v>15.18</v>
      </c>
      <c r="K23" s="59">
        <v>14.63</v>
      </c>
      <c r="L23" s="61">
        <v>14.67</v>
      </c>
      <c r="M23" s="62">
        <v>14.83</v>
      </c>
      <c r="N23" s="62">
        <v>14.78</v>
      </c>
      <c r="O23" s="63">
        <v>15.17</v>
      </c>
      <c r="P23" s="61">
        <v>14.61</v>
      </c>
      <c r="Q23" s="62">
        <v>15.21</v>
      </c>
      <c r="R23" s="62">
        <v>13.94</v>
      </c>
      <c r="S23" s="63">
        <v>13.97</v>
      </c>
    </row>
    <row r="24" spans="2:19" ht="14" customHeight="1" thickBot="1" x14ac:dyDescent="0.2">
      <c r="B24" s="106"/>
      <c r="C24" s="106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</row>
    <row r="25" spans="2:19" ht="14" customHeight="1" thickBot="1" x14ac:dyDescent="0.2">
      <c r="B25" s="175" t="s">
        <v>13</v>
      </c>
      <c r="C25" s="176"/>
      <c r="D25" s="81"/>
      <c r="E25" s="82"/>
      <c r="F25" s="82"/>
      <c r="G25" s="83"/>
      <c r="H25" s="81"/>
      <c r="I25" s="82"/>
      <c r="J25" s="82"/>
      <c r="K25" s="83"/>
      <c r="L25" s="81"/>
      <c r="M25" s="82"/>
      <c r="N25" s="82"/>
      <c r="O25" s="84"/>
      <c r="P25" s="81"/>
      <c r="Q25" s="82"/>
      <c r="R25" s="82"/>
      <c r="S25" s="84"/>
    </row>
    <row r="26" spans="2:19" ht="14" customHeight="1" thickBot="1" x14ac:dyDescent="0.2">
      <c r="B26" s="66"/>
      <c r="C26" s="66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</row>
    <row r="27" spans="2:19" ht="14" customHeight="1" thickBot="1" x14ac:dyDescent="0.2">
      <c r="B27" s="175" t="s">
        <v>14</v>
      </c>
      <c r="C27" s="176"/>
      <c r="D27" s="70"/>
      <c r="E27" s="71"/>
      <c r="F27" s="71"/>
      <c r="G27" s="65"/>
      <c r="H27" s="70"/>
      <c r="I27" s="71"/>
      <c r="J27" s="71"/>
      <c r="K27" s="65"/>
      <c r="L27" s="70"/>
      <c r="M27" s="71"/>
      <c r="N27" s="71"/>
      <c r="O27" s="72"/>
      <c r="P27" s="70"/>
      <c r="Q27" s="71"/>
      <c r="R27" s="71"/>
      <c r="S27" s="72"/>
    </row>
    <row r="28" spans="2:19" ht="14" customHeight="1" thickBot="1" x14ac:dyDescent="0.2">
      <c r="B28" s="66"/>
      <c r="C28" s="66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</row>
    <row r="29" spans="2:19" ht="14" customHeight="1" thickBot="1" x14ac:dyDescent="0.2">
      <c r="B29" s="175" t="s">
        <v>15</v>
      </c>
      <c r="C29" s="176"/>
      <c r="D29" s="111"/>
      <c r="E29" s="112"/>
      <c r="F29" s="112"/>
      <c r="G29" s="113"/>
      <c r="H29" s="111"/>
      <c r="I29" s="112"/>
      <c r="J29" s="112"/>
      <c r="K29" s="113"/>
      <c r="L29" s="111"/>
      <c r="M29" s="112"/>
      <c r="N29" s="112"/>
      <c r="O29" s="114"/>
      <c r="P29" s="111"/>
      <c r="Q29" s="112"/>
      <c r="R29" s="112"/>
      <c r="S29" s="114"/>
    </row>
    <row r="30" spans="2:19" ht="14" customHeight="1" thickBot="1" x14ac:dyDescent="0.2"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</row>
    <row r="31" spans="2:19" ht="14" customHeight="1" thickBot="1" x14ac:dyDescent="0.2">
      <c r="B31" s="173" t="s">
        <v>24</v>
      </c>
      <c r="C31" s="174"/>
      <c r="D31" s="61"/>
      <c r="E31" s="62"/>
      <c r="F31" s="62"/>
      <c r="G31" s="59"/>
      <c r="H31" s="61"/>
      <c r="I31" s="62"/>
      <c r="J31" s="62"/>
      <c r="K31" s="63"/>
      <c r="L31" s="61"/>
      <c r="M31" s="62"/>
      <c r="N31" s="62"/>
      <c r="O31" s="63"/>
      <c r="P31" s="61"/>
      <c r="Q31" s="62"/>
      <c r="R31" s="62"/>
      <c r="S31" s="63"/>
    </row>
    <row r="32" spans="2:19" ht="14" customHeight="1" thickBot="1" x14ac:dyDescent="0.2"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</row>
    <row r="33" spans="2:19" ht="14" customHeight="1" thickBot="1" x14ac:dyDescent="0.2">
      <c r="B33" s="175" t="s">
        <v>25</v>
      </c>
      <c r="C33" s="176"/>
      <c r="D33" s="61"/>
      <c r="E33" s="62"/>
      <c r="F33" s="62"/>
      <c r="G33" s="59"/>
      <c r="H33" s="61"/>
      <c r="I33" s="62"/>
      <c r="J33" s="62"/>
      <c r="K33" s="59"/>
      <c r="L33" s="61"/>
      <c r="M33" s="62"/>
      <c r="N33" s="62"/>
      <c r="O33" s="63"/>
      <c r="P33" s="61"/>
      <c r="Q33" s="62"/>
      <c r="R33" s="62"/>
      <c r="S33" s="63"/>
    </row>
    <row r="34" spans="2:19" ht="14" customHeight="1" thickBot="1" x14ac:dyDescent="0.2">
      <c r="D34" s="120"/>
      <c r="E34" s="120"/>
      <c r="F34" s="120"/>
      <c r="G34" s="120"/>
      <c r="H34" s="120"/>
      <c r="I34" s="120"/>
      <c r="J34" s="120"/>
      <c r="K34" s="120"/>
      <c r="L34" s="120"/>
      <c r="M34" s="120"/>
      <c r="N34" s="120"/>
      <c r="O34" s="120"/>
      <c r="P34" s="120"/>
      <c r="Q34" s="120"/>
      <c r="R34" s="120"/>
      <c r="S34" s="120"/>
    </row>
    <row r="35" spans="2:19" ht="14" thickBot="1" x14ac:dyDescent="0.2">
      <c r="B35" s="198" t="s">
        <v>16</v>
      </c>
      <c r="C35" s="200"/>
      <c r="D35" s="70"/>
      <c r="E35" s="71"/>
      <c r="F35" s="71"/>
      <c r="G35" s="72"/>
      <c r="H35" s="70"/>
      <c r="I35" s="71"/>
      <c r="J35" s="71"/>
      <c r="K35" s="72"/>
      <c r="L35" s="70"/>
      <c r="M35" s="71"/>
      <c r="N35" s="71"/>
      <c r="O35" s="72"/>
      <c r="P35" s="70"/>
      <c r="Q35" s="71"/>
      <c r="R35" s="71"/>
      <c r="S35" s="72"/>
    </row>
    <row r="36" spans="2:19" ht="14" customHeight="1" thickBot="1" x14ac:dyDescent="0.2">
      <c r="D36" s="120"/>
      <c r="E36" s="120"/>
      <c r="F36" s="120"/>
      <c r="G36" s="120"/>
      <c r="H36" s="120"/>
      <c r="I36" s="120"/>
      <c r="J36" s="120"/>
      <c r="K36" s="120"/>
      <c r="L36" s="120"/>
      <c r="M36" s="120"/>
      <c r="N36" s="120"/>
      <c r="O36" s="120"/>
      <c r="P36" s="120"/>
      <c r="Q36" s="120"/>
      <c r="R36" s="120"/>
      <c r="S36" s="120"/>
    </row>
    <row r="37" spans="2:19" ht="14" thickBot="1" x14ac:dyDescent="0.2">
      <c r="B37" s="198" t="s">
        <v>26</v>
      </c>
      <c r="C37" s="199"/>
      <c r="D37" s="107">
        <f t="shared" ref="D37:S37" ca="1" si="0">0.001*(RANDBETWEEN(70,87))</f>
        <v>7.2000000000000008E-2</v>
      </c>
      <c r="E37" s="108">
        <f t="shared" ca="1" si="0"/>
        <v>8.5000000000000006E-2</v>
      </c>
      <c r="F37" s="108">
        <f t="shared" ca="1" si="0"/>
        <v>7.6999999999999999E-2</v>
      </c>
      <c r="G37" s="109">
        <f t="shared" ca="1" si="0"/>
        <v>7.6999999999999999E-2</v>
      </c>
      <c r="H37" s="107">
        <f t="shared" ca="1" si="0"/>
        <v>8.3000000000000004E-2</v>
      </c>
      <c r="I37" s="108">
        <f t="shared" ca="1" si="0"/>
        <v>8.4000000000000005E-2</v>
      </c>
      <c r="J37" s="108">
        <f t="shared" ca="1" si="0"/>
        <v>8.3000000000000004E-2</v>
      </c>
      <c r="K37" s="109">
        <f t="shared" ca="1" si="0"/>
        <v>7.3999999999999996E-2</v>
      </c>
      <c r="L37" s="107">
        <f t="shared" ca="1" si="0"/>
        <v>8.5000000000000006E-2</v>
      </c>
      <c r="M37" s="108">
        <f t="shared" ca="1" si="0"/>
        <v>7.8E-2</v>
      </c>
      <c r="N37" s="108">
        <f t="shared" ca="1" si="0"/>
        <v>7.5999999999999998E-2</v>
      </c>
      <c r="O37" s="109">
        <f t="shared" ca="1" si="0"/>
        <v>8.2000000000000003E-2</v>
      </c>
      <c r="P37" s="107">
        <f t="shared" ca="1" si="0"/>
        <v>7.2000000000000008E-2</v>
      </c>
      <c r="Q37" s="108">
        <f t="shared" ca="1" si="0"/>
        <v>8.3000000000000004E-2</v>
      </c>
      <c r="R37" s="108">
        <f t="shared" ca="1" si="0"/>
        <v>8.1000000000000003E-2</v>
      </c>
      <c r="S37" s="109">
        <f t="shared" ca="1" si="0"/>
        <v>7.1000000000000008E-2</v>
      </c>
    </row>
    <row r="38" spans="2:19" ht="14" thickBot="1" x14ac:dyDescent="0.2"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</row>
    <row r="39" spans="2:19" ht="14" thickBot="1" x14ac:dyDescent="0.2">
      <c r="B39" s="198" t="s">
        <v>27</v>
      </c>
      <c r="C39" s="200"/>
      <c r="D39" s="115">
        <f t="shared" ref="D39:S39" ca="1" si="1">0.0001*(RANDBETWEEN(3,8))</f>
        <v>6.0000000000000006E-4</v>
      </c>
      <c r="E39" s="116">
        <f t="shared" ca="1" si="1"/>
        <v>8.0000000000000004E-4</v>
      </c>
      <c r="F39" s="116">
        <f t="shared" ca="1" si="1"/>
        <v>6.9999999999999999E-4</v>
      </c>
      <c r="G39" s="117">
        <f t="shared" ca="1" si="1"/>
        <v>6.9999999999999999E-4</v>
      </c>
      <c r="H39" s="115">
        <f t="shared" ca="1" si="1"/>
        <v>4.0000000000000002E-4</v>
      </c>
      <c r="I39" s="116">
        <f t="shared" ca="1" si="1"/>
        <v>3.0000000000000003E-4</v>
      </c>
      <c r="J39" s="116">
        <f t="shared" ca="1" si="1"/>
        <v>5.0000000000000001E-4</v>
      </c>
      <c r="K39" s="117">
        <f t="shared" ca="1" si="1"/>
        <v>8.0000000000000004E-4</v>
      </c>
      <c r="L39" s="115">
        <f t="shared" ca="1" si="1"/>
        <v>6.9999999999999999E-4</v>
      </c>
      <c r="M39" s="116">
        <f t="shared" ca="1" si="1"/>
        <v>4.0000000000000002E-4</v>
      </c>
      <c r="N39" s="116">
        <f t="shared" ca="1" si="1"/>
        <v>3.0000000000000003E-4</v>
      </c>
      <c r="O39" s="117">
        <f t="shared" ca="1" si="1"/>
        <v>5.0000000000000001E-4</v>
      </c>
      <c r="P39" s="136">
        <f t="shared" ca="1" si="1"/>
        <v>6.9999999999999999E-4</v>
      </c>
      <c r="Q39" s="116">
        <f t="shared" ca="1" si="1"/>
        <v>8.0000000000000004E-4</v>
      </c>
      <c r="R39" s="116">
        <f t="shared" ca="1" si="1"/>
        <v>5.0000000000000001E-4</v>
      </c>
      <c r="S39" s="117">
        <f t="shared" ca="1" si="1"/>
        <v>6.0000000000000006E-4</v>
      </c>
    </row>
    <row r="40" spans="2:19" ht="14" customHeight="1" x14ac:dyDescent="0.15">
      <c r="D40" s="121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</row>
    <row r="41" spans="2:19" ht="14" customHeight="1" thickBot="1" x14ac:dyDescent="0.2">
      <c r="B41" s="67"/>
      <c r="C41" s="67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</row>
    <row r="42" spans="2:19" ht="14" customHeight="1" thickBot="1" x14ac:dyDescent="0.2">
      <c r="B42" s="183" t="s">
        <v>30</v>
      </c>
      <c r="C42" s="184"/>
      <c r="D42" s="184"/>
      <c r="E42" s="184"/>
      <c r="F42" s="184"/>
      <c r="G42" s="184"/>
      <c r="H42" s="184"/>
      <c r="I42" s="184"/>
      <c r="J42" s="184"/>
      <c r="K42" s="184"/>
      <c r="L42" s="184"/>
      <c r="M42" s="184"/>
      <c r="N42" s="184"/>
      <c r="O42" s="184"/>
      <c r="P42" s="184"/>
      <c r="Q42" s="184"/>
      <c r="R42" s="184"/>
      <c r="S42" s="185"/>
    </row>
    <row r="43" spans="2:19" ht="14" customHeight="1" x14ac:dyDescent="0.15">
      <c r="B43" s="192" t="s">
        <v>2</v>
      </c>
      <c r="C43" s="216"/>
      <c r="D43" s="186">
        <f>IF(D10="","",MIN(D10:G10))</f>
        <v>100</v>
      </c>
      <c r="E43" s="187"/>
      <c r="F43" s="187">
        <f>IF(D10="","",MAX(D10:G10))</f>
        <v>100</v>
      </c>
      <c r="G43" s="188"/>
      <c r="H43" s="186">
        <f>IF(H10="","",MIN(H10:K10))</f>
        <v>100</v>
      </c>
      <c r="I43" s="187"/>
      <c r="J43" s="187">
        <f>IF(H10="","",MAX(H10:K10))</f>
        <v>100</v>
      </c>
      <c r="K43" s="188"/>
      <c r="L43" s="186">
        <f>IF(L10="","",MIN(L10:O10))</f>
        <v>100</v>
      </c>
      <c r="M43" s="187"/>
      <c r="N43" s="187">
        <f>IF(L10="","",MAX(L10:O10))</f>
        <v>100</v>
      </c>
      <c r="O43" s="188"/>
      <c r="P43" s="186">
        <f>IF(P10="","",MIN(P10:S10))</f>
        <v>100</v>
      </c>
      <c r="Q43" s="187"/>
      <c r="R43" s="187">
        <f>IF(P10="","",MAX(P10:S10))</f>
        <v>100</v>
      </c>
      <c r="S43" s="188"/>
    </row>
    <row r="44" spans="2:19" ht="14" customHeight="1" x14ac:dyDescent="0.15">
      <c r="B44" s="194"/>
      <c r="C44" s="217"/>
      <c r="D44" s="20">
        <f>IF(OR(D43="",F43=""),"",ABS(F43-D43))</f>
        <v>0</v>
      </c>
      <c r="E44" s="21">
        <f>IF(D44="","",D44)</f>
        <v>0</v>
      </c>
      <c r="F44" s="21">
        <f>IF(E44="","",E44)</f>
        <v>0</v>
      </c>
      <c r="G44" s="21">
        <f>IF(F44="","",F44)</f>
        <v>0</v>
      </c>
      <c r="H44" s="20">
        <f>IF(OR(H43="",J43=""),"",ABS(J43-H43))</f>
        <v>0</v>
      </c>
      <c r="I44" s="21">
        <f>IF(H44="","",H44)</f>
        <v>0</v>
      </c>
      <c r="J44" s="21">
        <f>IF(I44="","",I44)</f>
        <v>0</v>
      </c>
      <c r="K44" s="21">
        <f>IF(J44="","",J44)</f>
        <v>0</v>
      </c>
      <c r="L44" s="20">
        <f>IF(OR(L43="",N43=""),"",ABS(N43-L43))</f>
        <v>0</v>
      </c>
      <c r="M44" s="21">
        <f>IF(L44="","",L44)</f>
        <v>0</v>
      </c>
      <c r="N44" s="21">
        <f>IF(M44="","",M44)</f>
        <v>0</v>
      </c>
      <c r="O44" s="21">
        <f>IF(N44="","",N44)</f>
        <v>0</v>
      </c>
      <c r="P44" s="20">
        <f>IF(OR(P43="",R43=""),"",ABS(R43-P43))</f>
        <v>0</v>
      </c>
      <c r="Q44" s="21">
        <f>IF(P44="","",P44)</f>
        <v>0</v>
      </c>
      <c r="R44" s="21">
        <f>IF(Q44="","",Q44)</f>
        <v>0</v>
      </c>
      <c r="S44" s="22">
        <f>IF(R44="","",R44)</f>
        <v>0</v>
      </c>
    </row>
    <row r="45" spans="2:19" ht="14" customHeight="1" thickBot="1" x14ac:dyDescent="0.2">
      <c r="B45" s="196"/>
      <c r="C45" s="218"/>
      <c r="D45" s="8" t="str">
        <f>IF(Configure!$Q$6="","",IF(Configure!$H$21=2,Configure!$Q$6,IF(Configure!$H$21=3,(Configure!$Q$6*Configure!$D$21),IF(Configure!$H$21=4,(Configure!$Q$6*Configure!$D$22)))))</f>
        <v/>
      </c>
      <c r="E45" s="9" t="str">
        <f>IF(D45="","",D45)</f>
        <v/>
      </c>
      <c r="F45" s="9" t="str">
        <f t="shared" ref="F45:S45" si="2">IF(E45="","",E45)</f>
        <v/>
      </c>
      <c r="G45" s="12" t="str">
        <f t="shared" si="2"/>
        <v/>
      </c>
      <c r="H45" s="8" t="str">
        <f>IF(Configure!$Q$6="","",IF(Configure!$J$21=2,Configure!$Q$6,IF(Configure!$J$21=3,(Configure!$Q$6*Configure!$D$21),IF(Configure!$J$21=4,(Configure!$Q$6*Configure!$D$22)))))</f>
        <v/>
      </c>
      <c r="I45" s="9" t="str">
        <f t="shared" si="2"/>
        <v/>
      </c>
      <c r="J45" s="9" t="str">
        <f t="shared" si="2"/>
        <v/>
      </c>
      <c r="K45" s="12" t="str">
        <f t="shared" si="2"/>
        <v/>
      </c>
      <c r="L45" s="8" t="str">
        <f>IF(Configure!$Q$6="","",IF(Configure!$L$21=2,Configure!$Q$6,IF(Configure!$L$21=3,(Configure!$Q$6*Configure!$D$21),IF(Configure!$L$21=4,(Configure!$Q$6*Configure!$D$22)))))</f>
        <v/>
      </c>
      <c r="M45" s="9" t="str">
        <f t="shared" si="2"/>
        <v/>
      </c>
      <c r="N45" s="9" t="str">
        <f t="shared" si="2"/>
        <v/>
      </c>
      <c r="O45" s="12" t="str">
        <f t="shared" si="2"/>
        <v/>
      </c>
      <c r="P45" s="8" t="str">
        <f>IF(Configure!$Q$6="","",IF(Configure!$N$21=2,Configure!$Q$6,IF(Configure!$N$21=3,(Configure!$Q$6*Configure!$D$21),IF(Configure!$N$21=4,(Configure!$Q$6*Configure!$D$22)))))</f>
        <v/>
      </c>
      <c r="Q45" s="9" t="str">
        <f t="shared" si="2"/>
        <v/>
      </c>
      <c r="R45" s="9" t="str">
        <f t="shared" si="2"/>
        <v/>
      </c>
      <c r="S45" s="12" t="str">
        <f t="shared" si="2"/>
        <v/>
      </c>
    </row>
    <row r="46" spans="2:19" ht="14" customHeight="1" x14ac:dyDescent="0.15">
      <c r="B46" s="192" t="s">
        <v>3</v>
      </c>
      <c r="C46" s="193"/>
      <c r="D46" s="186">
        <f>IF(D11="","",MIN(D11:G11))</f>
        <v>94.69</v>
      </c>
      <c r="E46" s="187"/>
      <c r="F46" s="187">
        <f>IF(D11="","",MAX(D11:G11))</f>
        <v>97.73</v>
      </c>
      <c r="G46" s="188"/>
      <c r="H46" s="186">
        <f>IF(H11="","",MIN(H11:K11))</f>
        <v>95.92</v>
      </c>
      <c r="I46" s="187"/>
      <c r="J46" s="187">
        <f>IF(H11="","",MAX(H11:K11))</f>
        <v>98.25</v>
      </c>
      <c r="K46" s="188"/>
      <c r="L46" s="186">
        <f>IF(L11="","",MIN(L11:O11))</f>
        <v>94.9</v>
      </c>
      <c r="M46" s="187"/>
      <c r="N46" s="187">
        <f>IF(L11="","",MAX(L11:O11))</f>
        <v>96.12</v>
      </c>
      <c r="O46" s="188"/>
      <c r="P46" s="186">
        <f>IF(P11="","",MIN(P11:S11))</f>
        <v>94.8</v>
      </c>
      <c r="Q46" s="187"/>
      <c r="R46" s="187">
        <f>IF(P11="","",MAX(P11:S11))</f>
        <v>96.39</v>
      </c>
      <c r="S46" s="188"/>
    </row>
    <row r="47" spans="2:19" ht="14" customHeight="1" x14ac:dyDescent="0.15">
      <c r="B47" s="194"/>
      <c r="C47" s="195"/>
      <c r="D47" s="20">
        <f>IF(OR(D46="",F46=""),"",ABS(F46-D46))</f>
        <v>3.0400000000000063</v>
      </c>
      <c r="E47" s="21">
        <f>IF(D47="","",D47)</f>
        <v>3.0400000000000063</v>
      </c>
      <c r="F47" s="21">
        <f>IF(E47="","",E47)</f>
        <v>3.0400000000000063</v>
      </c>
      <c r="G47" s="21">
        <f>IF(F47="","",F47)</f>
        <v>3.0400000000000063</v>
      </c>
      <c r="H47" s="20">
        <f>IF(OR(H46="",J46=""),"",ABS(J46-H46))</f>
        <v>2.3299999999999983</v>
      </c>
      <c r="I47" s="21">
        <f>IF(H47="","",H47)</f>
        <v>2.3299999999999983</v>
      </c>
      <c r="J47" s="21">
        <f>IF(I47="","",I47)</f>
        <v>2.3299999999999983</v>
      </c>
      <c r="K47" s="21">
        <f>IF(J47="","",J47)</f>
        <v>2.3299999999999983</v>
      </c>
      <c r="L47" s="20">
        <f>IF(OR(L46="",N46=""),"",ABS(N46-L46))</f>
        <v>1.2199999999999989</v>
      </c>
      <c r="M47" s="21">
        <f>IF(L47="","",L47)</f>
        <v>1.2199999999999989</v>
      </c>
      <c r="N47" s="21">
        <f>IF(M47="","",M47)</f>
        <v>1.2199999999999989</v>
      </c>
      <c r="O47" s="21">
        <f>IF(N47="","",N47)</f>
        <v>1.2199999999999989</v>
      </c>
      <c r="P47" s="20">
        <f>IF(OR(P46="",R46=""),"",ABS(R46-P46))</f>
        <v>1.5900000000000034</v>
      </c>
      <c r="Q47" s="21">
        <f>IF(P47="","",P47)</f>
        <v>1.5900000000000034</v>
      </c>
      <c r="R47" s="21">
        <f>IF(Q47="","",Q47)</f>
        <v>1.5900000000000034</v>
      </c>
      <c r="S47" s="22">
        <f>IF(R47="","",R47)</f>
        <v>1.5900000000000034</v>
      </c>
    </row>
    <row r="48" spans="2:19" ht="14" customHeight="1" thickBot="1" x14ac:dyDescent="0.2">
      <c r="B48" s="196"/>
      <c r="C48" s="197"/>
      <c r="D48" s="8">
        <f>IF(Configure!$Q$7="","",IF(Configure!$H$21=2,Configure!$Q$7,IF(Configure!$H$21=3,(Configure!$Q$7*Configure!$D$21),IF(Configure!$H$21=4,(Configure!$Q$7*Configure!$D$22)))))</f>
        <v>13.97</v>
      </c>
      <c r="E48" s="9">
        <f>IF(D48="","",D48)</f>
        <v>13.97</v>
      </c>
      <c r="F48" s="9">
        <f t="shared" ref="F48:S48" si="3">IF(E48="","",E48)</f>
        <v>13.97</v>
      </c>
      <c r="G48" s="12">
        <f t="shared" si="3"/>
        <v>13.97</v>
      </c>
      <c r="H48" s="8">
        <f>IF(Configure!$Q$7="","",IF(Configure!$J$21=2,Configure!$Q$7,IF(Configure!$J$21=3,(Configure!$Q$7*Configure!$D$21),IF(Configure!$J$21=4,(Configure!$Q$7*Configure!$D$22)))))</f>
        <v>13.97</v>
      </c>
      <c r="I48" s="9">
        <f t="shared" si="3"/>
        <v>13.97</v>
      </c>
      <c r="J48" s="9">
        <f t="shared" si="3"/>
        <v>13.97</v>
      </c>
      <c r="K48" s="12">
        <f t="shared" si="3"/>
        <v>13.97</v>
      </c>
      <c r="L48" s="8">
        <f>IF(Configure!$Q$7="","",IF(Configure!$L$21=2,Configure!$Q$7,IF(Configure!$L$21=3,(Configure!$Q$7*Configure!$D$21),IF(Configure!$L$21=4,(Configure!$Q$7*Configure!$D$22)))))</f>
        <v>13.97</v>
      </c>
      <c r="M48" s="9">
        <f t="shared" si="3"/>
        <v>13.97</v>
      </c>
      <c r="N48" s="9">
        <f t="shared" si="3"/>
        <v>13.97</v>
      </c>
      <c r="O48" s="12">
        <f t="shared" si="3"/>
        <v>13.97</v>
      </c>
      <c r="P48" s="8">
        <f>IF(Configure!$Q$7="","",IF(Configure!$N$21=2,Configure!$Q$7,IF(Configure!$N$21=3,(Configure!$Q$7*Configure!$D$21),IF(Configure!$N$21=4,(Configure!$Q$7*Configure!$D$22)))))</f>
        <v>13.97</v>
      </c>
      <c r="Q48" s="9">
        <f t="shared" si="3"/>
        <v>13.97</v>
      </c>
      <c r="R48" s="9">
        <f t="shared" si="3"/>
        <v>13.97</v>
      </c>
      <c r="S48" s="12">
        <f t="shared" si="3"/>
        <v>13.97</v>
      </c>
    </row>
    <row r="49" spans="2:19" ht="14" customHeight="1" x14ac:dyDescent="0.15">
      <c r="B49" s="192" t="s">
        <v>4</v>
      </c>
      <c r="C49" s="193"/>
      <c r="D49" s="186">
        <f>IF(D12="","",MIN(D12:G12))</f>
        <v>84.86</v>
      </c>
      <c r="E49" s="187"/>
      <c r="F49" s="187">
        <f>IF(D12="","",MAX(D12:G12))</f>
        <v>90.18</v>
      </c>
      <c r="G49" s="188"/>
      <c r="H49" s="186">
        <f>IF(H12="","",MIN(H12:K12))</f>
        <v>88.84</v>
      </c>
      <c r="I49" s="187"/>
      <c r="J49" s="187">
        <f>IF(H12="","",MAX(H12:K12))</f>
        <v>91.39</v>
      </c>
      <c r="K49" s="188"/>
      <c r="L49" s="186">
        <f>IF(L12="","",MIN(L12:O12))</f>
        <v>82.99</v>
      </c>
      <c r="M49" s="187"/>
      <c r="N49" s="187">
        <f>IF(L12="","",MAX(L12:O12))</f>
        <v>89.24</v>
      </c>
      <c r="O49" s="188"/>
      <c r="P49" s="186">
        <f>IF(P12="","",MIN(P12:S12))</f>
        <v>87.03</v>
      </c>
      <c r="Q49" s="187"/>
      <c r="R49" s="187">
        <f>IF(P12="","",MAX(P12:S12))</f>
        <v>88.2</v>
      </c>
      <c r="S49" s="188"/>
    </row>
    <row r="50" spans="2:19" ht="14" customHeight="1" x14ac:dyDescent="0.15">
      <c r="B50" s="194"/>
      <c r="C50" s="195"/>
      <c r="D50" s="20">
        <f>IF(OR(D49="",F49=""),"",ABS(F49-D49))</f>
        <v>5.3200000000000074</v>
      </c>
      <c r="E50" s="21">
        <f>IF(D50="","",D50)</f>
        <v>5.3200000000000074</v>
      </c>
      <c r="F50" s="21">
        <f>IF(E50="","",E50)</f>
        <v>5.3200000000000074</v>
      </c>
      <c r="G50" s="21">
        <f>IF(F50="","",F50)</f>
        <v>5.3200000000000074</v>
      </c>
      <c r="H50" s="20">
        <f>IF(OR(H49="",J49=""),"",ABS(J49-H49))</f>
        <v>2.5499999999999972</v>
      </c>
      <c r="I50" s="21">
        <f>IF(H50="","",H50)</f>
        <v>2.5499999999999972</v>
      </c>
      <c r="J50" s="21">
        <f>IF(I50="","",I50)</f>
        <v>2.5499999999999972</v>
      </c>
      <c r="K50" s="21">
        <f>IF(J50="","",J50)</f>
        <v>2.5499999999999972</v>
      </c>
      <c r="L50" s="20">
        <f>IF(OR(L49="",N49=""),"",ABS(N49-L49))</f>
        <v>6.25</v>
      </c>
      <c r="M50" s="21">
        <f>IF(L50="","",L50)</f>
        <v>6.25</v>
      </c>
      <c r="N50" s="21">
        <f>IF(M50="","",M50)</f>
        <v>6.25</v>
      </c>
      <c r="O50" s="21">
        <f>IF(N50="","",N50)</f>
        <v>6.25</v>
      </c>
      <c r="P50" s="20">
        <f>IF(OR(P49="",R49=""),"",ABS(R49-P49))</f>
        <v>1.1700000000000017</v>
      </c>
      <c r="Q50" s="21">
        <f>IF(P50="","",P50)</f>
        <v>1.1700000000000017</v>
      </c>
      <c r="R50" s="21">
        <f>IF(Q50="","",Q50)</f>
        <v>1.1700000000000017</v>
      </c>
      <c r="S50" s="22">
        <f>IF(R50="","",R50)</f>
        <v>1.1700000000000017</v>
      </c>
    </row>
    <row r="51" spans="2:19" ht="14" customHeight="1" thickBot="1" x14ac:dyDescent="0.2">
      <c r="B51" s="196"/>
      <c r="C51" s="197"/>
      <c r="D51" s="8">
        <f>IF(Configure!$Q$8="","",IF(Configure!$H$21=2,Configure!$Q$8,IF(Configure!$H$21=3,(Configure!$Q$8*Configure!$D$21),IF(Configure!$H$21=4,(Configure!$Q$8*Configure!$D$22)))))</f>
        <v>13.97</v>
      </c>
      <c r="E51" s="9">
        <f>IF(D51="","",D51)</f>
        <v>13.97</v>
      </c>
      <c r="F51" s="9">
        <f t="shared" ref="F51:S51" si="4">IF(E51="","",E51)</f>
        <v>13.97</v>
      </c>
      <c r="G51" s="12">
        <f t="shared" si="4"/>
        <v>13.97</v>
      </c>
      <c r="H51" s="8">
        <f>IF(Configure!$Q$8="","",IF(Configure!$J$21=2,Configure!$Q$8,IF(Configure!$J$21=3,(Configure!$Q$8*Configure!$D$21),IF(Configure!$J$21=4,(Configure!$Q$8*Configure!$D$22)))))</f>
        <v>13.97</v>
      </c>
      <c r="I51" s="9">
        <f t="shared" si="4"/>
        <v>13.97</v>
      </c>
      <c r="J51" s="9">
        <f t="shared" si="4"/>
        <v>13.97</v>
      </c>
      <c r="K51" s="12">
        <f t="shared" si="4"/>
        <v>13.97</v>
      </c>
      <c r="L51" s="8">
        <f>IF(Configure!$Q$8="","",IF(Configure!$L$21=2,Configure!$Q$8,IF(Configure!$L$21=3,(Configure!$Q$8*Configure!$D$21),IF(Configure!$L$21=4,(Configure!$Q$8*Configure!$D$22)))))</f>
        <v>13.97</v>
      </c>
      <c r="M51" s="9">
        <f t="shared" si="4"/>
        <v>13.97</v>
      </c>
      <c r="N51" s="9">
        <f t="shared" si="4"/>
        <v>13.97</v>
      </c>
      <c r="O51" s="12">
        <f t="shared" si="4"/>
        <v>13.97</v>
      </c>
      <c r="P51" s="8">
        <f>IF(Configure!$Q$8="","",IF(Configure!$N$21=2,Configure!$Q$8,IF(Configure!$N$21=3,(Configure!$Q$8*Configure!$D$21),IF(Configure!$N$21=4,(Configure!$Q$8*Configure!$D$22)))))</f>
        <v>13.97</v>
      </c>
      <c r="Q51" s="9">
        <f t="shared" si="4"/>
        <v>13.97</v>
      </c>
      <c r="R51" s="9">
        <f t="shared" si="4"/>
        <v>13.97</v>
      </c>
      <c r="S51" s="12">
        <f t="shared" si="4"/>
        <v>13.97</v>
      </c>
    </row>
    <row r="52" spans="2:19" ht="14" customHeight="1" x14ac:dyDescent="0.15">
      <c r="B52" s="192" t="s">
        <v>5</v>
      </c>
      <c r="C52" s="193"/>
      <c r="D52" s="186">
        <f>IF(D13="","",MIN(D13:G13))</f>
        <v>63.7</v>
      </c>
      <c r="E52" s="187"/>
      <c r="F52" s="187">
        <f>IF(D13="","",MAX(D13:G13))</f>
        <v>66.290000000000006</v>
      </c>
      <c r="G52" s="188"/>
      <c r="H52" s="186">
        <f>IF(H13="","",MIN(H13:K13))</f>
        <v>66.67</v>
      </c>
      <c r="I52" s="187"/>
      <c r="J52" s="187">
        <f>IF(H13="","",MAX(H13:K13))</f>
        <v>68.69</v>
      </c>
      <c r="K52" s="188"/>
      <c r="L52" s="186">
        <f>IF(L13="","",MIN(L13:O13))</f>
        <v>61.1</v>
      </c>
      <c r="M52" s="187"/>
      <c r="N52" s="187">
        <f>IF(L13="","",MAX(L13:O13))</f>
        <v>67.709999999999994</v>
      </c>
      <c r="O52" s="188"/>
      <c r="P52" s="186">
        <f>IF(P13="","",MIN(P13:S13))</f>
        <v>65.42</v>
      </c>
      <c r="Q52" s="187"/>
      <c r="R52" s="187">
        <f>IF(P13="","",MAX(P13:S13))</f>
        <v>71.09</v>
      </c>
      <c r="S52" s="188"/>
    </row>
    <row r="53" spans="2:19" ht="14" customHeight="1" x14ac:dyDescent="0.15">
      <c r="B53" s="194"/>
      <c r="C53" s="195"/>
      <c r="D53" s="20">
        <f>IF(OR(D52="",F52=""),"",ABS(F52-D52))</f>
        <v>2.5900000000000034</v>
      </c>
      <c r="E53" s="21">
        <f>IF(D53="","",D53)</f>
        <v>2.5900000000000034</v>
      </c>
      <c r="F53" s="21">
        <f>IF(E53="","",E53)</f>
        <v>2.5900000000000034</v>
      </c>
      <c r="G53" s="21">
        <f>IF(F53="","",F53)</f>
        <v>2.5900000000000034</v>
      </c>
      <c r="H53" s="20">
        <f>IF(OR(H52="",J52=""),"",ABS(J52-H52))</f>
        <v>2.019999999999996</v>
      </c>
      <c r="I53" s="21">
        <f>IF(H53="","",H53)</f>
        <v>2.019999999999996</v>
      </c>
      <c r="J53" s="21">
        <f>IF(I53="","",I53)</f>
        <v>2.019999999999996</v>
      </c>
      <c r="K53" s="21">
        <f>IF(J53="","",J53)</f>
        <v>2.019999999999996</v>
      </c>
      <c r="L53" s="20">
        <f>IF(OR(L52="",N52=""),"",ABS(N52-L52))</f>
        <v>6.6099999999999923</v>
      </c>
      <c r="M53" s="21">
        <f>IF(L53="","",L53)</f>
        <v>6.6099999999999923</v>
      </c>
      <c r="N53" s="21">
        <f>IF(M53="","",M53)</f>
        <v>6.6099999999999923</v>
      </c>
      <c r="O53" s="21">
        <f>IF(N53="","",N53)</f>
        <v>6.6099999999999923</v>
      </c>
      <c r="P53" s="20">
        <f>IF(OR(P52="",R52=""),"",ABS(R52-P52))</f>
        <v>5.6700000000000017</v>
      </c>
      <c r="Q53" s="21">
        <f>IF(P53="","",P53)</f>
        <v>5.6700000000000017</v>
      </c>
      <c r="R53" s="21">
        <f>IF(Q53="","",Q53)</f>
        <v>5.6700000000000017</v>
      </c>
      <c r="S53" s="22">
        <f>IF(R53="","",R53)</f>
        <v>5.6700000000000017</v>
      </c>
    </row>
    <row r="54" spans="2:19" ht="14" customHeight="1" thickBot="1" x14ac:dyDescent="0.2">
      <c r="B54" s="196"/>
      <c r="C54" s="197"/>
      <c r="D54" s="8">
        <f>IF(Configure!$Q$9="","",IF(Configure!$H$21=2,Configure!$Q$9,IF(Configure!$H$21=3,(Configure!$Q$9*Configure!$D$21),IF(Configure!$H$21=4,(Configure!$Q$9*Configure!$D$22)))))</f>
        <v>13.97</v>
      </c>
      <c r="E54" s="9">
        <f>IF(D54="","",D54)</f>
        <v>13.97</v>
      </c>
      <c r="F54" s="9">
        <f t="shared" ref="F54:S54" si="5">IF(E54="","",E54)</f>
        <v>13.97</v>
      </c>
      <c r="G54" s="12">
        <f t="shared" si="5"/>
        <v>13.97</v>
      </c>
      <c r="H54" s="8">
        <f>IF(Configure!$Q$9="","",IF(Configure!$J$21=2,Configure!$Q$9,IF(Configure!$J$21=3,(Configure!$Q$9*Configure!$D$21),IF(Configure!$J$21=4,(Configure!$Q$9*Configure!$D$22)))))</f>
        <v>13.97</v>
      </c>
      <c r="I54" s="9">
        <f t="shared" si="5"/>
        <v>13.97</v>
      </c>
      <c r="J54" s="9">
        <f t="shared" si="5"/>
        <v>13.97</v>
      </c>
      <c r="K54" s="12">
        <f t="shared" si="5"/>
        <v>13.97</v>
      </c>
      <c r="L54" s="8">
        <f>IF(Configure!$Q$9="","",IF(Configure!$L$21=2,Configure!$Q$9,IF(Configure!$L$21=3,(Configure!$Q$9*Configure!$D$21),IF(Configure!$L$21=4,(Configure!$Q$9*Configure!$D$22)))))</f>
        <v>13.97</v>
      </c>
      <c r="M54" s="9">
        <f t="shared" si="5"/>
        <v>13.97</v>
      </c>
      <c r="N54" s="9">
        <f t="shared" si="5"/>
        <v>13.97</v>
      </c>
      <c r="O54" s="12">
        <f t="shared" si="5"/>
        <v>13.97</v>
      </c>
      <c r="P54" s="8">
        <f>IF(Configure!$Q$9="","",IF(Configure!$N$21=2,Configure!$Q$9,IF(Configure!$N$21=3,(Configure!$Q$9*Configure!$D$21),IF(Configure!$N$21=4,(Configure!$Q$9*Configure!$D$22)))))</f>
        <v>13.97</v>
      </c>
      <c r="Q54" s="9">
        <f t="shared" si="5"/>
        <v>13.97</v>
      </c>
      <c r="R54" s="9">
        <f t="shared" si="5"/>
        <v>13.97</v>
      </c>
      <c r="S54" s="12">
        <f t="shared" si="5"/>
        <v>13.97</v>
      </c>
    </row>
    <row r="55" spans="2:19" ht="14" customHeight="1" x14ac:dyDescent="0.15">
      <c r="B55" s="192" t="s">
        <v>6</v>
      </c>
      <c r="C55" s="193"/>
      <c r="D55" s="186">
        <f>IF(D14="","",MIN(D14:G14))</f>
        <v>41.63</v>
      </c>
      <c r="E55" s="187"/>
      <c r="F55" s="187">
        <f>IF(D14="","",MAX(D14:G14))</f>
        <v>45.15</v>
      </c>
      <c r="G55" s="188"/>
      <c r="H55" s="186">
        <f>IF(H14="","",MIN(H14:K14))</f>
        <v>45.31</v>
      </c>
      <c r="I55" s="187"/>
      <c r="J55" s="187">
        <f>IF(H14="","",MAX(H14:K14))</f>
        <v>49.44</v>
      </c>
      <c r="K55" s="188"/>
      <c r="L55" s="186">
        <f>IF(L14="","",MIN(L14:O14))</f>
        <v>42.69</v>
      </c>
      <c r="M55" s="187"/>
      <c r="N55" s="187">
        <f>IF(L14="","",MAX(L14:O14))</f>
        <v>45.18</v>
      </c>
      <c r="O55" s="188"/>
      <c r="P55" s="186">
        <f>IF(P14="","",MIN(P14:S14))</f>
        <v>45.65</v>
      </c>
      <c r="Q55" s="187"/>
      <c r="R55" s="187">
        <f>IF(P14="","",MAX(P14:S14))</f>
        <v>47.49</v>
      </c>
      <c r="S55" s="188"/>
    </row>
    <row r="56" spans="2:19" ht="14" customHeight="1" x14ac:dyDescent="0.15">
      <c r="B56" s="194"/>
      <c r="C56" s="195"/>
      <c r="D56" s="20">
        <f>IF(OR(D55="",F55=""),"",ABS(F55-D55))</f>
        <v>3.519999999999996</v>
      </c>
      <c r="E56" s="21">
        <f>IF(D56="","",D56)</f>
        <v>3.519999999999996</v>
      </c>
      <c r="F56" s="21">
        <f>IF(E56="","",E56)</f>
        <v>3.519999999999996</v>
      </c>
      <c r="G56" s="21">
        <f>IF(F56="","",F56)</f>
        <v>3.519999999999996</v>
      </c>
      <c r="H56" s="20">
        <f>IF(OR(H55="",J55=""),"",ABS(J55-H55))</f>
        <v>4.1299999999999955</v>
      </c>
      <c r="I56" s="21">
        <f>IF(H56="","",H56)</f>
        <v>4.1299999999999955</v>
      </c>
      <c r="J56" s="21">
        <f>IF(I56="","",I56)</f>
        <v>4.1299999999999955</v>
      </c>
      <c r="K56" s="21">
        <f>IF(J56="","",J56)</f>
        <v>4.1299999999999955</v>
      </c>
      <c r="L56" s="20">
        <f>IF(OR(L55="",N55=""),"",ABS(N55-L55))</f>
        <v>2.490000000000002</v>
      </c>
      <c r="M56" s="21">
        <f>IF(L56="","",L56)</f>
        <v>2.490000000000002</v>
      </c>
      <c r="N56" s="21">
        <f>IF(M56="","",M56)</f>
        <v>2.490000000000002</v>
      </c>
      <c r="O56" s="21">
        <f>IF(N56="","",N56)</f>
        <v>2.490000000000002</v>
      </c>
      <c r="P56" s="20">
        <f>IF(OR(P55="",R55=""),"",ABS(R55-P55))</f>
        <v>1.8400000000000034</v>
      </c>
      <c r="Q56" s="21">
        <f>IF(P56="","",P56)</f>
        <v>1.8400000000000034</v>
      </c>
      <c r="R56" s="21">
        <f>IF(Q56="","",Q56)</f>
        <v>1.8400000000000034</v>
      </c>
      <c r="S56" s="22">
        <f>IF(R56="","",R56)</f>
        <v>1.8400000000000034</v>
      </c>
    </row>
    <row r="57" spans="2:19" ht="14" customHeight="1" thickBot="1" x14ac:dyDescent="0.2">
      <c r="B57" s="196"/>
      <c r="C57" s="197"/>
      <c r="D57" s="8" t="str">
        <f>IF(Configure!$Q$10="","",IF(Configure!$H$21=2,Configure!$Q$10,IF(Configure!$H$21=3,(Configure!$Q$10*Configure!$D$21),IF(Configure!$H$21=4,(Configure!$Q$10*Configure!$D$22)))))</f>
        <v/>
      </c>
      <c r="E57" s="25" t="str">
        <f>IF(D57="","",D57)</f>
        <v/>
      </c>
      <c r="F57" s="25" t="str">
        <f t="shared" ref="F57:S57" si="6">IF(E57="","",E57)</f>
        <v/>
      </c>
      <c r="G57" s="26" t="str">
        <f t="shared" si="6"/>
        <v/>
      </c>
      <c r="H57" s="8" t="str">
        <f>IF(Configure!$Q$10="","",IF(Configure!$J$21=2,Configure!$Q$10,IF(Configure!$J$21=3,(Configure!$Q$10*Configure!$D$21),IF(Configure!$J$21=4,(Configure!$Q$10*Configure!$D$22)))))</f>
        <v/>
      </c>
      <c r="I57" s="25" t="str">
        <f t="shared" si="6"/>
        <v/>
      </c>
      <c r="J57" s="25" t="str">
        <f t="shared" si="6"/>
        <v/>
      </c>
      <c r="K57" s="26" t="str">
        <f t="shared" si="6"/>
        <v/>
      </c>
      <c r="L57" s="8" t="str">
        <f>IF(Configure!$Q$10="","",IF(Configure!$L$21=2,Configure!$Q$10,IF(Configure!$L$21=3,(Configure!$Q$10*Configure!$D$21),IF(Configure!$L$21=4,(Configure!$Q$10*Configure!$D$22)))))</f>
        <v/>
      </c>
      <c r="M57" s="25" t="str">
        <f t="shared" si="6"/>
        <v/>
      </c>
      <c r="N57" s="25" t="str">
        <f t="shared" si="6"/>
        <v/>
      </c>
      <c r="O57" s="26" t="str">
        <f t="shared" si="6"/>
        <v/>
      </c>
      <c r="P57" s="8" t="str">
        <f>IF(Configure!$Q$10="","",IF(Configure!$N$21=2,Configure!$Q$10,IF(Configure!$N$21=3,(Configure!$Q$10*Configure!$D$21),IF(Configure!$N$21=4,(Configure!$Q$10*Configure!$D$22)))))</f>
        <v/>
      </c>
      <c r="Q57" s="25" t="str">
        <f t="shared" si="6"/>
        <v/>
      </c>
      <c r="R57" s="25" t="str">
        <f t="shared" si="6"/>
        <v/>
      </c>
      <c r="S57" s="26" t="str">
        <f t="shared" si="6"/>
        <v/>
      </c>
    </row>
    <row r="58" spans="2:19" ht="14" customHeight="1" x14ac:dyDescent="0.15">
      <c r="B58" s="192" t="s">
        <v>7</v>
      </c>
      <c r="C58" s="193"/>
      <c r="D58" s="186">
        <f>IF(D15="","",MIN(D15:G15))</f>
        <v>30.4</v>
      </c>
      <c r="E58" s="187"/>
      <c r="F58" s="187">
        <f>IF(D15="","",MAX(D15:G15))</f>
        <v>35.5</v>
      </c>
      <c r="G58" s="188"/>
      <c r="H58" s="186">
        <f>IF(H15="","",MIN(H15:K15))</f>
        <v>34.64</v>
      </c>
      <c r="I58" s="187"/>
      <c r="J58" s="187">
        <f>IF(H15="","",MAX(H15:K15))</f>
        <v>38.869999999999997</v>
      </c>
      <c r="K58" s="188"/>
      <c r="L58" s="186">
        <f>IF(L15="","",MIN(L15:O15))</f>
        <v>31.91</v>
      </c>
      <c r="M58" s="187"/>
      <c r="N58" s="187">
        <f>IF(L15="","",MAX(L15:O15))</f>
        <v>34.29</v>
      </c>
      <c r="O58" s="188"/>
      <c r="P58" s="186">
        <f>IF(P15="","",MIN(P15:S15))</f>
        <v>35.18</v>
      </c>
      <c r="Q58" s="187"/>
      <c r="R58" s="187">
        <f>IF(P15="","",MAX(P15:S15))</f>
        <v>36.28</v>
      </c>
      <c r="S58" s="188"/>
    </row>
    <row r="59" spans="2:19" ht="14" customHeight="1" x14ac:dyDescent="0.15">
      <c r="B59" s="194"/>
      <c r="C59" s="195"/>
      <c r="D59" s="20">
        <f>IF(OR(D58="",F58=""),"",ABS(F58-D58))</f>
        <v>5.1000000000000014</v>
      </c>
      <c r="E59" s="21">
        <f>IF(D59="","",D59)</f>
        <v>5.1000000000000014</v>
      </c>
      <c r="F59" s="21">
        <f>IF(E59="","",E59)</f>
        <v>5.1000000000000014</v>
      </c>
      <c r="G59" s="21">
        <f>IF(F59="","",F59)</f>
        <v>5.1000000000000014</v>
      </c>
      <c r="H59" s="20">
        <f>IF(OR(H58="",J58=""),"",ABS(J58-H58))</f>
        <v>4.2299999999999969</v>
      </c>
      <c r="I59" s="21">
        <f>IF(H59="","",H59)</f>
        <v>4.2299999999999969</v>
      </c>
      <c r="J59" s="21">
        <f>IF(I59="","",I59)</f>
        <v>4.2299999999999969</v>
      </c>
      <c r="K59" s="21">
        <f>IF(J59="","",J59)</f>
        <v>4.2299999999999969</v>
      </c>
      <c r="L59" s="20">
        <f>IF(OR(L58="",N58=""),"",ABS(N58-L58))</f>
        <v>2.379999999999999</v>
      </c>
      <c r="M59" s="21">
        <f>IF(L59="","",L59)</f>
        <v>2.379999999999999</v>
      </c>
      <c r="N59" s="21">
        <f>IF(M59="","",M59)</f>
        <v>2.379999999999999</v>
      </c>
      <c r="O59" s="21">
        <f>IF(N59="","",N59)</f>
        <v>2.379999999999999</v>
      </c>
      <c r="P59" s="20">
        <f>IF(OR(P58="",R58=""),"",ABS(R58-P58))</f>
        <v>1.1000000000000014</v>
      </c>
      <c r="Q59" s="21">
        <f>IF(P59="","",P59)</f>
        <v>1.1000000000000014</v>
      </c>
      <c r="R59" s="21">
        <f>IF(Q59="","",Q59)</f>
        <v>1.1000000000000014</v>
      </c>
      <c r="S59" s="22">
        <f>IF(R59="","",R59)</f>
        <v>1.1000000000000014</v>
      </c>
    </row>
    <row r="60" spans="2:19" ht="14" customHeight="1" thickBot="1" x14ac:dyDescent="0.2">
      <c r="B60" s="196"/>
      <c r="C60" s="197"/>
      <c r="D60" s="8">
        <f>IF(Configure!$Q$11="","",IF(Configure!$H$21=2,Configure!$Q$11,IF(Configure!$H$21=3,(Configure!$Q$11*Configure!$D$21),IF(Configure!$H$21=4,(Configure!$Q$11*Configure!$D$22)))))</f>
        <v>11.43</v>
      </c>
      <c r="E60" s="9">
        <f>IF(D60="","",D60)</f>
        <v>11.43</v>
      </c>
      <c r="F60" s="9">
        <f t="shared" ref="F60:S60" si="7">IF(E60="","",E60)</f>
        <v>11.43</v>
      </c>
      <c r="G60" s="12">
        <f t="shared" si="7"/>
        <v>11.43</v>
      </c>
      <c r="H60" s="8">
        <f>IF(Configure!$Q$11="","",IF(Configure!$J$21=2,Configure!$Q$11,IF(Configure!$J$21=3,(Configure!$Q$11*Configure!$D$21),IF(Configure!$J$21=4,(Configure!$Q$11*Configure!$D$22)))))</f>
        <v>11.43</v>
      </c>
      <c r="I60" s="9">
        <f t="shared" si="7"/>
        <v>11.43</v>
      </c>
      <c r="J60" s="9">
        <f t="shared" si="7"/>
        <v>11.43</v>
      </c>
      <c r="K60" s="12">
        <f t="shared" si="7"/>
        <v>11.43</v>
      </c>
      <c r="L60" s="8">
        <f>IF(Configure!$Q$11="","",IF(Configure!$L$21=2,Configure!$Q$11,IF(Configure!$L$21=3,(Configure!$Q$11*Configure!$D$21),IF(Configure!$L$21=4,(Configure!$Q$11*Configure!$D$22)))))</f>
        <v>11.43</v>
      </c>
      <c r="M60" s="9">
        <f t="shared" si="7"/>
        <v>11.43</v>
      </c>
      <c r="N60" s="9">
        <f t="shared" si="7"/>
        <v>11.43</v>
      </c>
      <c r="O60" s="12">
        <f t="shared" si="7"/>
        <v>11.43</v>
      </c>
      <c r="P60" s="8">
        <f>IF(Configure!$Q$11="","",IF(Configure!$N$21=2,Configure!$Q$11,IF(Configure!$N$21=3,(Configure!$Q$11*Configure!$D$21),IF(Configure!$N$21=4,(Configure!$Q$11*Configure!$D$22)))))</f>
        <v>11.43</v>
      </c>
      <c r="Q60" s="9">
        <f t="shared" si="7"/>
        <v>11.43</v>
      </c>
      <c r="R60" s="9">
        <f t="shared" si="7"/>
        <v>11.43</v>
      </c>
      <c r="S60" s="12">
        <f t="shared" si="7"/>
        <v>11.43</v>
      </c>
    </row>
    <row r="61" spans="2:19" ht="14" customHeight="1" x14ac:dyDescent="0.15">
      <c r="B61" s="192" t="s">
        <v>8</v>
      </c>
      <c r="C61" s="193"/>
      <c r="D61" s="186">
        <f>IF(D16="","",MIN(D16:G16))</f>
        <v>25.09</v>
      </c>
      <c r="E61" s="187"/>
      <c r="F61" s="187">
        <f>IF(D16="","",MAX(D16:G16))</f>
        <v>29.86</v>
      </c>
      <c r="G61" s="188"/>
      <c r="H61" s="186">
        <f>IF(H16="","",MIN(H16:K16))</f>
        <v>28.14</v>
      </c>
      <c r="I61" s="187"/>
      <c r="J61" s="187">
        <f>IF(H16="","",MAX(H16:K16))</f>
        <v>32.49</v>
      </c>
      <c r="K61" s="188"/>
      <c r="L61" s="186">
        <f>IF(L16="","",MIN(L16:O16))</f>
        <v>26.37</v>
      </c>
      <c r="M61" s="187"/>
      <c r="N61" s="187">
        <f>IF(L16="","",MAX(L16:O16))</f>
        <v>28.53</v>
      </c>
      <c r="O61" s="188"/>
      <c r="P61" s="186">
        <f>IF(P16="","",MIN(P16:S16))</f>
        <v>27.81</v>
      </c>
      <c r="Q61" s="187"/>
      <c r="R61" s="187">
        <f>IF(P16="","",MAX(P16:S16))</f>
        <v>30.31</v>
      </c>
      <c r="S61" s="188"/>
    </row>
    <row r="62" spans="2:19" ht="14" customHeight="1" x14ac:dyDescent="0.15">
      <c r="B62" s="194"/>
      <c r="C62" s="195"/>
      <c r="D62" s="20">
        <f>IF(OR(D61="",F61=""),"",ABS(F61-D61))</f>
        <v>4.7699999999999996</v>
      </c>
      <c r="E62" s="21">
        <f>IF(D62="","",D62)</f>
        <v>4.7699999999999996</v>
      </c>
      <c r="F62" s="21">
        <f>IF(E62="","",E62)</f>
        <v>4.7699999999999996</v>
      </c>
      <c r="G62" s="21">
        <f>IF(F62="","",F62)</f>
        <v>4.7699999999999996</v>
      </c>
      <c r="H62" s="20">
        <f>IF(OR(H61="",J61=""),"",ABS(J61-H61))</f>
        <v>4.3500000000000014</v>
      </c>
      <c r="I62" s="21">
        <f>IF(H62="","",H62)</f>
        <v>4.3500000000000014</v>
      </c>
      <c r="J62" s="21">
        <f>IF(I62="","",I62)</f>
        <v>4.3500000000000014</v>
      </c>
      <c r="K62" s="21">
        <f>IF(J62="","",J62)</f>
        <v>4.3500000000000014</v>
      </c>
      <c r="L62" s="20">
        <f>IF(OR(L61="",N61=""),"",ABS(N61-L61))</f>
        <v>2.16</v>
      </c>
      <c r="M62" s="21">
        <f>IF(L62="","",L62)</f>
        <v>2.16</v>
      </c>
      <c r="N62" s="21">
        <f>IF(M62="","",M62)</f>
        <v>2.16</v>
      </c>
      <c r="O62" s="21">
        <f>IF(N62="","",N62)</f>
        <v>2.16</v>
      </c>
      <c r="P62" s="20">
        <f>IF(OR(P61="",R61=""),"",ABS(R61-P61))</f>
        <v>2.5</v>
      </c>
      <c r="Q62" s="21">
        <f>IF(P62="","",P62)</f>
        <v>2.5</v>
      </c>
      <c r="R62" s="21">
        <f>IF(Q62="","",Q62)</f>
        <v>2.5</v>
      </c>
      <c r="S62" s="22">
        <f>IF(R62="","",R62)</f>
        <v>2.5</v>
      </c>
    </row>
    <row r="63" spans="2:19" ht="14" customHeight="1" thickBot="1" x14ac:dyDescent="0.2">
      <c r="B63" s="196"/>
      <c r="C63" s="197"/>
      <c r="D63" s="8" t="str">
        <f>IF(Configure!$Q$12="","",IF(Configure!$H$21=2,Configure!$Q$12,IF(Configure!$H$21=3,(Configure!$Q$12*Configure!$D$21),IF(Configure!$H$21=4,(Configure!$Q$12*Configure!$D$22)))))</f>
        <v/>
      </c>
      <c r="E63" s="25" t="str">
        <f>IF(D63="","",D63)</f>
        <v/>
      </c>
      <c r="F63" s="25" t="str">
        <f t="shared" ref="F63:S63" si="8">IF(E63="","",E63)</f>
        <v/>
      </c>
      <c r="G63" s="26" t="str">
        <f t="shared" si="8"/>
        <v/>
      </c>
      <c r="H63" s="8" t="str">
        <f>IF(Configure!$Q$12="","",IF(Configure!$J$21=2,Configure!$Q$12,IF(Configure!$J$21=3,(Configure!$Q$12*Configure!$D$21),IF(Configure!$J$21=4,(Configure!$Q$12*Configure!$D$22)))))</f>
        <v/>
      </c>
      <c r="I63" s="25" t="str">
        <f t="shared" si="8"/>
        <v/>
      </c>
      <c r="J63" s="25" t="str">
        <f t="shared" si="8"/>
        <v/>
      </c>
      <c r="K63" s="26" t="str">
        <f t="shared" si="8"/>
        <v/>
      </c>
      <c r="L63" s="8" t="str">
        <f>IF(Configure!$Q$12="","",IF(Configure!$L$21=2,Configure!$Q$12,IF(Configure!$L$21=3,(Configure!$Q$12*Configure!$D$21),IF(Configure!$L$21=4,(Configure!$Q$12*Configure!$D$22)))))</f>
        <v/>
      </c>
      <c r="M63" s="25" t="str">
        <f t="shared" si="8"/>
        <v/>
      </c>
      <c r="N63" s="25" t="str">
        <f t="shared" si="8"/>
        <v/>
      </c>
      <c r="O63" s="26" t="str">
        <f t="shared" si="8"/>
        <v/>
      </c>
      <c r="P63" s="8" t="str">
        <f>IF(Configure!$Q$12="","",IF(Configure!$N$21=2,Configure!$Q$12,IF(Configure!$N$21=3,(Configure!$Q$12*Configure!$D$21),IF(Configure!$N$21=4,(Configure!$Q$12*Configure!$D$22)))))</f>
        <v/>
      </c>
      <c r="Q63" s="25" t="str">
        <f t="shared" si="8"/>
        <v/>
      </c>
      <c r="R63" s="25" t="str">
        <f t="shared" si="8"/>
        <v/>
      </c>
      <c r="S63" s="26" t="str">
        <f t="shared" si="8"/>
        <v/>
      </c>
    </row>
    <row r="64" spans="2:19" ht="14" customHeight="1" x14ac:dyDescent="0.15">
      <c r="B64" s="192" t="s">
        <v>9</v>
      </c>
      <c r="C64" s="193"/>
      <c r="D64" s="186">
        <f>IF(D17="","",MIN(D17:G17))</f>
        <v>17.489999999999998</v>
      </c>
      <c r="E64" s="187"/>
      <c r="F64" s="187">
        <f>IF(D17="","",MAX(D17:G17))</f>
        <v>21.18</v>
      </c>
      <c r="G64" s="188"/>
      <c r="H64" s="186">
        <f>IF(H17="","",MIN(H17:K17))</f>
        <v>20.12</v>
      </c>
      <c r="I64" s="187"/>
      <c r="J64" s="187">
        <f>IF(H17="","",MAX(H17:K17))</f>
        <v>22.28</v>
      </c>
      <c r="K64" s="188"/>
      <c r="L64" s="186">
        <f>IF(L17="","",MIN(L17:O17))</f>
        <v>18.63</v>
      </c>
      <c r="M64" s="187"/>
      <c r="N64" s="187">
        <f>IF(L17="","",MAX(L17:O17))</f>
        <v>19.88</v>
      </c>
      <c r="O64" s="188"/>
      <c r="P64" s="186">
        <f>IF(P17="","",MIN(P17:S17))</f>
        <v>19.91</v>
      </c>
      <c r="Q64" s="187"/>
      <c r="R64" s="187">
        <f>IF(P17="","",MAX(P17:S17))</f>
        <v>21.86</v>
      </c>
      <c r="S64" s="188"/>
    </row>
    <row r="65" spans="2:19" ht="14" customHeight="1" x14ac:dyDescent="0.15">
      <c r="B65" s="194"/>
      <c r="C65" s="195"/>
      <c r="D65" s="20">
        <f>IF(OR(D64="",F64=""),"",ABS(F64-D64))</f>
        <v>3.6900000000000013</v>
      </c>
      <c r="E65" s="21">
        <f>IF(D65="","",D65)</f>
        <v>3.6900000000000013</v>
      </c>
      <c r="F65" s="21">
        <f>IF(E65="","",E65)</f>
        <v>3.6900000000000013</v>
      </c>
      <c r="G65" s="21">
        <f>IF(F65="","",F65)</f>
        <v>3.6900000000000013</v>
      </c>
      <c r="H65" s="20">
        <f>IF(OR(H64="",J64=""),"",ABS(J64-H64))</f>
        <v>2.16</v>
      </c>
      <c r="I65" s="21">
        <f>IF(H65="","",H65)</f>
        <v>2.16</v>
      </c>
      <c r="J65" s="21">
        <f>IF(I65="","",I65)</f>
        <v>2.16</v>
      </c>
      <c r="K65" s="21">
        <f>IF(J65="","",J65)</f>
        <v>2.16</v>
      </c>
      <c r="L65" s="20">
        <f>IF(OR(L64="",N64=""),"",ABS(N64-L64))</f>
        <v>1.25</v>
      </c>
      <c r="M65" s="21">
        <f>IF(L65="","",L65)</f>
        <v>1.25</v>
      </c>
      <c r="N65" s="21">
        <f>IF(M65="","",M65)</f>
        <v>1.25</v>
      </c>
      <c r="O65" s="21">
        <f>IF(N65="","",N65)</f>
        <v>1.25</v>
      </c>
      <c r="P65" s="20">
        <f>IF(OR(P64="",R64=""),"",ABS(R64-P64))</f>
        <v>1.9499999999999993</v>
      </c>
      <c r="Q65" s="21">
        <f>IF(P65="","",P65)</f>
        <v>1.9499999999999993</v>
      </c>
      <c r="R65" s="21">
        <f>IF(Q65="","",Q65)</f>
        <v>1.9499999999999993</v>
      </c>
      <c r="S65" s="22">
        <f>IF(R65="","",R65)</f>
        <v>1.9499999999999993</v>
      </c>
    </row>
    <row r="66" spans="2:19" ht="14" customHeight="1" thickBot="1" x14ac:dyDescent="0.2">
      <c r="B66" s="196"/>
      <c r="C66" s="197"/>
      <c r="D66" s="8">
        <f>IF(Configure!$Q$13="","",IF(Configure!$H$21=2,Configure!$Q$13,IF(Configure!$H$21=3,(Configure!$Q$13*Configure!$D$21),IF(Configure!$H$21=4,(Configure!$Q$13*Configure!$D$22)))))</f>
        <v>7.62</v>
      </c>
      <c r="E66" s="9">
        <f>IF(D66="","",D66)</f>
        <v>7.62</v>
      </c>
      <c r="F66" s="9">
        <f t="shared" ref="F66:S66" si="9">IF(E66="","",E66)</f>
        <v>7.62</v>
      </c>
      <c r="G66" s="12">
        <f t="shared" si="9"/>
        <v>7.62</v>
      </c>
      <c r="H66" s="8">
        <f>IF(Configure!$Q$13="","",IF(Configure!$J$21=2,Configure!$Q$13,IF(Configure!$J$21=3,(Configure!$Q$13*Configure!$D$21),IF(Configure!$J$21=4,(Configure!$Q$13*Configure!$D$22)))))</f>
        <v>7.62</v>
      </c>
      <c r="I66" s="9">
        <f t="shared" si="9"/>
        <v>7.62</v>
      </c>
      <c r="J66" s="9">
        <f t="shared" si="9"/>
        <v>7.62</v>
      </c>
      <c r="K66" s="12">
        <f t="shared" si="9"/>
        <v>7.62</v>
      </c>
      <c r="L66" s="8">
        <f>IF(Configure!$Q$13="","",IF(Configure!$L$21=2,Configure!$Q$13,IF(Configure!$L$21=3,(Configure!$Q$13*Configure!$D$21),IF(Configure!$L$21=4,(Configure!$Q$13*Configure!$D$22)))))</f>
        <v>7.62</v>
      </c>
      <c r="M66" s="9">
        <f t="shared" si="9"/>
        <v>7.62</v>
      </c>
      <c r="N66" s="9">
        <f t="shared" si="9"/>
        <v>7.62</v>
      </c>
      <c r="O66" s="12">
        <f t="shared" si="9"/>
        <v>7.62</v>
      </c>
      <c r="P66" s="8">
        <f>IF(Configure!$Q$13="","",IF(Configure!$N$21=2,Configure!$Q$13,IF(Configure!$N$21=3,(Configure!$Q$13*Configure!$D$21),IF(Configure!$N$21=4,(Configure!$Q$13*Configure!$D$22)))))</f>
        <v>7.62</v>
      </c>
      <c r="Q66" s="9">
        <f t="shared" si="9"/>
        <v>7.62</v>
      </c>
      <c r="R66" s="9">
        <f t="shared" si="9"/>
        <v>7.62</v>
      </c>
      <c r="S66" s="12">
        <f t="shared" si="9"/>
        <v>7.62</v>
      </c>
    </row>
    <row r="67" spans="2:19" ht="14" customHeight="1" x14ac:dyDescent="0.15">
      <c r="B67" s="192" t="s">
        <v>10</v>
      </c>
      <c r="C67" s="193"/>
      <c r="D67" s="186">
        <f>IF(D18="","",MIN(D18:G18))</f>
        <v>7.49</v>
      </c>
      <c r="E67" s="187"/>
      <c r="F67" s="187">
        <f>IF(D18="","",MAX(D18:G18))</f>
        <v>9.61</v>
      </c>
      <c r="G67" s="188"/>
      <c r="H67" s="186">
        <f>IF(H18="","",MIN(H18:K18))</f>
        <v>7.52</v>
      </c>
      <c r="I67" s="187"/>
      <c r="J67" s="187">
        <f>IF(H18="","",MAX(H18:K18))</f>
        <v>8.56</v>
      </c>
      <c r="K67" s="188"/>
      <c r="L67" s="186">
        <f>IF(L18="","",MIN(L18:O18))</f>
        <v>7.85</v>
      </c>
      <c r="M67" s="187"/>
      <c r="N67" s="187">
        <f>IF(L18="","",MAX(L18:O18))</f>
        <v>8.74</v>
      </c>
      <c r="O67" s="188"/>
      <c r="P67" s="186">
        <f>IF(P18="","",MIN(P18:S18))</f>
        <v>7.86</v>
      </c>
      <c r="Q67" s="187"/>
      <c r="R67" s="187">
        <f>IF(P18="","",MAX(P18:S18))</f>
        <v>9.82</v>
      </c>
      <c r="S67" s="188"/>
    </row>
    <row r="68" spans="2:19" ht="14" customHeight="1" x14ac:dyDescent="0.15">
      <c r="B68" s="194"/>
      <c r="C68" s="195"/>
      <c r="D68" s="20">
        <f>IF(OR(D67="",F67=""),"",ABS(F67-D67))</f>
        <v>2.1199999999999992</v>
      </c>
      <c r="E68" s="21">
        <f>IF(D68="","",D68)</f>
        <v>2.1199999999999992</v>
      </c>
      <c r="F68" s="21">
        <f>IF(E68="","",E68)</f>
        <v>2.1199999999999992</v>
      </c>
      <c r="G68" s="21">
        <f>IF(F68="","",F68)</f>
        <v>2.1199999999999992</v>
      </c>
      <c r="H68" s="20">
        <f>IF(OR(H67="",J67=""),"",ABS(J67-H67))</f>
        <v>1.0400000000000009</v>
      </c>
      <c r="I68" s="21">
        <f>IF(H68="","",H68)</f>
        <v>1.0400000000000009</v>
      </c>
      <c r="J68" s="21">
        <f>IF(I68="","",I68)</f>
        <v>1.0400000000000009</v>
      </c>
      <c r="K68" s="21">
        <f>IF(J68="","",J68)</f>
        <v>1.0400000000000009</v>
      </c>
      <c r="L68" s="20">
        <f>IF(OR(L67="",N67=""),"",ABS(N67-L67))</f>
        <v>0.89000000000000057</v>
      </c>
      <c r="M68" s="21">
        <f>IF(L68="","",L68)</f>
        <v>0.89000000000000057</v>
      </c>
      <c r="N68" s="21">
        <f>IF(M68="","",M68)</f>
        <v>0.89000000000000057</v>
      </c>
      <c r="O68" s="21">
        <f>IF(N68="","",N68)</f>
        <v>0.89000000000000057</v>
      </c>
      <c r="P68" s="20">
        <f>IF(OR(P67="",R67=""),"",ABS(R67-P67))</f>
        <v>1.96</v>
      </c>
      <c r="Q68" s="21">
        <f>IF(P68="","",P68)</f>
        <v>1.96</v>
      </c>
      <c r="R68" s="21">
        <f>IF(Q68="","",Q68)</f>
        <v>1.96</v>
      </c>
      <c r="S68" s="22">
        <f>IF(R68="","",R68)</f>
        <v>1.96</v>
      </c>
    </row>
    <row r="69" spans="2:19" ht="14" customHeight="1" thickBot="1" x14ac:dyDescent="0.2">
      <c r="B69" s="196"/>
      <c r="C69" s="197"/>
      <c r="D69" s="8" t="str">
        <f>IF(Configure!$Q$14="","",IF(Configure!$H$21=2,Configure!$Q$14,IF(Configure!$H$21=3,(Configure!$Q$14*Configure!$D$21),IF(Configure!$H$21=4,(Configure!$Q$14*Configure!$D$22)))))</f>
        <v/>
      </c>
      <c r="E69" s="9" t="str">
        <f>IF(D69="","",D69)</f>
        <v/>
      </c>
      <c r="F69" s="9" t="str">
        <f t="shared" ref="F69:S69" si="10">IF(E69="","",E69)</f>
        <v/>
      </c>
      <c r="G69" s="12" t="str">
        <f t="shared" si="10"/>
        <v/>
      </c>
      <c r="H69" s="8" t="str">
        <f>IF(Configure!$Q$14="","",IF(Configure!$J$21=2,Configure!$Q$14,IF(Configure!$J$21=3,(Configure!$Q$14*Configure!$D$21),IF(Configure!$J$21=4,(Configure!$Q$14*Configure!$D$22)))))</f>
        <v/>
      </c>
      <c r="I69" s="9" t="str">
        <f t="shared" si="10"/>
        <v/>
      </c>
      <c r="J69" s="9" t="str">
        <f t="shared" si="10"/>
        <v/>
      </c>
      <c r="K69" s="12" t="str">
        <f t="shared" si="10"/>
        <v/>
      </c>
      <c r="L69" s="8" t="str">
        <f>IF(Configure!$Q$14="","",IF(Configure!$L$21=2,Configure!$Q$14,IF(Configure!$L$21=3,(Configure!$Q$14*Configure!$D$21),IF(Configure!$L$21=4,(Configure!$Q$14*Configure!$D$22)))))</f>
        <v/>
      </c>
      <c r="M69" s="9" t="str">
        <f t="shared" si="10"/>
        <v/>
      </c>
      <c r="N69" s="9" t="str">
        <f t="shared" si="10"/>
        <v/>
      </c>
      <c r="O69" s="12" t="str">
        <f t="shared" si="10"/>
        <v/>
      </c>
      <c r="P69" s="8" t="str">
        <f>IF(Configure!$Q$14="","",IF(Configure!$N$21=2,Configure!$Q$14,IF(Configure!$N$21=3,(Configure!$Q$14*Configure!$D$21),IF(Configure!$N$21=4,(Configure!$Q$14*Configure!$D$22)))))</f>
        <v/>
      </c>
      <c r="Q69" s="9" t="str">
        <f t="shared" si="10"/>
        <v/>
      </c>
      <c r="R69" s="9" t="str">
        <f t="shared" si="10"/>
        <v/>
      </c>
      <c r="S69" s="12" t="str">
        <f t="shared" si="10"/>
        <v/>
      </c>
    </row>
    <row r="70" spans="2:19" ht="14" customHeight="1" x14ac:dyDescent="0.15">
      <c r="B70" s="210" t="s">
        <v>11</v>
      </c>
      <c r="C70" s="211"/>
      <c r="D70" s="186">
        <f>IF(D19="","",MIN(D19:G19))</f>
        <v>3.25</v>
      </c>
      <c r="E70" s="187"/>
      <c r="F70" s="187">
        <f>IF(D19="","",MAX(D19:G19))</f>
        <v>4.53</v>
      </c>
      <c r="G70" s="188"/>
      <c r="H70" s="186">
        <f>IF(H19="","",MIN(H19:K19))</f>
        <v>3.46</v>
      </c>
      <c r="I70" s="187"/>
      <c r="J70" s="187">
        <f>IF(H19="","",MAX(H19:K19))</f>
        <v>3.88</v>
      </c>
      <c r="K70" s="188"/>
      <c r="L70" s="186">
        <f>IF(L19="","",MIN(L19:O19))</f>
        <v>3.39</v>
      </c>
      <c r="M70" s="187"/>
      <c r="N70" s="187">
        <f>IF(L19="","",MAX(L19:O19))</f>
        <v>3.92</v>
      </c>
      <c r="O70" s="188"/>
      <c r="P70" s="186">
        <f>IF(P19="","",MIN(P19:S19))</f>
        <v>3.64</v>
      </c>
      <c r="Q70" s="187"/>
      <c r="R70" s="187">
        <f>IF(P19="","",MAX(P19:S19))</f>
        <v>4.6100000000000003</v>
      </c>
      <c r="S70" s="188"/>
    </row>
    <row r="71" spans="2:19" ht="14" customHeight="1" x14ac:dyDescent="0.15">
      <c r="B71" s="212"/>
      <c r="C71" s="213"/>
      <c r="D71" s="20">
        <f>IF(OR(D70="",F70=""),"",ABS(F70-D70))</f>
        <v>1.2800000000000002</v>
      </c>
      <c r="E71" s="21">
        <f>IF(D71="","",D71)</f>
        <v>1.2800000000000002</v>
      </c>
      <c r="F71" s="21">
        <f>IF(E71="","",E71)</f>
        <v>1.2800000000000002</v>
      </c>
      <c r="G71" s="21">
        <f>IF(F71="","",F71)</f>
        <v>1.2800000000000002</v>
      </c>
      <c r="H71" s="20">
        <f>IF(OR(H70="",J70=""),"",ABS(J70-H70))</f>
        <v>0.41999999999999993</v>
      </c>
      <c r="I71" s="21">
        <f>IF(H71="","",H71)</f>
        <v>0.41999999999999993</v>
      </c>
      <c r="J71" s="21">
        <f>IF(I71="","",I71)</f>
        <v>0.41999999999999993</v>
      </c>
      <c r="K71" s="21">
        <f>IF(J71="","",J71)</f>
        <v>0.41999999999999993</v>
      </c>
      <c r="L71" s="20">
        <f>IF(OR(L70="",N70=""),"",ABS(N70-L70))</f>
        <v>0.5299999999999998</v>
      </c>
      <c r="M71" s="21">
        <f>IF(L71="","",L71)</f>
        <v>0.5299999999999998</v>
      </c>
      <c r="N71" s="21">
        <f>IF(M71="","",M71)</f>
        <v>0.5299999999999998</v>
      </c>
      <c r="O71" s="21">
        <f>IF(N71="","",N71)</f>
        <v>0.5299999999999998</v>
      </c>
      <c r="P71" s="20">
        <f>IF(OR(P70="",R70=""),"",ABS(R70-P70))</f>
        <v>0.9700000000000002</v>
      </c>
      <c r="Q71" s="21">
        <f>IF(P71="","",P71)</f>
        <v>0.9700000000000002</v>
      </c>
      <c r="R71" s="21">
        <f>IF(Q71="","",Q71)</f>
        <v>0.9700000000000002</v>
      </c>
      <c r="S71" s="22">
        <f>IF(R71="","",R71)</f>
        <v>0.9700000000000002</v>
      </c>
    </row>
    <row r="72" spans="2:19" ht="14" customHeight="1" thickBot="1" x14ac:dyDescent="0.2">
      <c r="B72" s="214"/>
      <c r="C72" s="215"/>
      <c r="D72" s="8">
        <f>IF(Configure!$Q$15="","",IF(Configure!$H$21=2,Configure!$Q$15,IF(Configure!$H$21=3,(Configure!$Q$15*Configure!$D$21),IF(Configure!$H$21=4,(Configure!$Q$15*Configure!$D$22)))))</f>
        <v>4.4450000000000003</v>
      </c>
      <c r="E72" s="9">
        <f>IF(D72="","",D72)</f>
        <v>4.4450000000000003</v>
      </c>
      <c r="F72" s="9">
        <f t="shared" ref="F72:S72" si="11">IF(E72="","",E72)</f>
        <v>4.4450000000000003</v>
      </c>
      <c r="G72" s="12">
        <f t="shared" si="11"/>
        <v>4.4450000000000003</v>
      </c>
      <c r="H72" s="8">
        <f>IF(Configure!$Q$15="","",IF(Configure!$J$21=2,Configure!$Q$15,IF(Configure!$J$21=3,(Configure!$Q$15*Configure!$D$21),IF(Configure!$J$21=4,(Configure!$Q$15*Configure!$D$22)))))</f>
        <v>4.4450000000000003</v>
      </c>
      <c r="I72" s="9">
        <f t="shared" si="11"/>
        <v>4.4450000000000003</v>
      </c>
      <c r="J72" s="9">
        <f t="shared" si="11"/>
        <v>4.4450000000000003</v>
      </c>
      <c r="K72" s="12">
        <f t="shared" si="11"/>
        <v>4.4450000000000003</v>
      </c>
      <c r="L72" s="8">
        <f>IF(Configure!$Q$15="","",IF(Configure!$L$21=2,Configure!$Q$15,IF(Configure!$L$21=3,(Configure!$Q$15*Configure!$D$21),IF(Configure!$L$21=4,(Configure!$Q$15*Configure!$D$22)))))</f>
        <v>4.4450000000000003</v>
      </c>
      <c r="M72" s="9">
        <f t="shared" si="11"/>
        <v>4.4450000000000003</v>
      </c>
      <c r="N72" s="9">
        <f t="shared" si="11"/>
        <v>4.4450000000000003</v>
      </c>
      <c r="O72" s="12">
        <f t="shared" si="11"/>
        <v>4.4450000000000003</v>
      </c>
      <c r="P72" s="8">
        <f>IF(Configure!$Q$15="","",IF(Configure!$N$21=2,Configure!$Q$15,IF(Configure!$N$21=3,(Configure!$Q$15*Configure!$D$21),IF(Configure!$N$21=4,(Configure!$Q$15*Configure!$D$22)))))</f>
        <v>4.4450000000000003</v>
      </c>
      <c r="Q72" s="9">
        <f t="shared" si="11"/>
        <v>4.4450000000000003</v>
      </c>
      <c r="R72" s="9">
        <f t="shared" si="11"/>
        <v>4.4450000000000003</v>
      </c>
      <c r="S72" s="12">
        <f t="shared" si="11"/>
        <v>4.4450000000000003</v>
      </c>
    </row>
    <row r="73" spans="2:19" ht="14" customHeight="1" thickBot="1" x14ac:dyDescent="0.2">
      <c r="B73" s="28"/>
      <c r="C73" s="28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</row>
    <row r="74" spans="2:19" ht="14" customHeight="1" thickBot="1" x14ac:dyDescent="0.2">
      <c r="B74" s="183" t="s">
        <v>31</v>
      </c>
      <c r="C74" s="184"/>
      <c r="D74" s="184"/>
      <c r="E74" s="184"/>
      <c r="F74" s="184"/>
      <c r="G74" s="184"/>
      <c r="H74" s="184"/>
      <c r="I74" s="184"/>
      <c r="J74" s="184"/>
      <c r="K74" s="184"/>
      <c r="L74" s="184"/>
      <c r="M74" s="184"/>
      <c r="N74" s="184"/>
      <c r="O74" s="184"/>
      <c r="P74" s="184"/>
      <c r="Q74" s="184"/>
      <c r="R74" s="184"/>
      <c r="S74" s="185"/>
    </row>
    <row r="75" spans="2:19" ht="14" customHeight="1" x14ac:dyDescent="0.15">
      <c r="B75" s="192" t="s">
        <v>2</v>
      </c>
      <c r="C75" s="193"/>
      <c r="D75" s="31">
        <f>IF(Configure!$G$6="","",Configure!$G$6)</f>
        <v>100</v>
      </c>
      <c r="E75" s="41">
        <f t="shared" ref="E75:S76" si="12">IF(D75="","",D75)</f>
        <v>100</v>
      </c>
      <c r="F75" s="41">
        <f t="shared" si="12"/>
        <v>100</v>
      </c>
      <c r="G75" s="42">
        <f t="shared" si="12"/>
        <v>100</v>
      </c>
      <c r="H75" s="31">
        <f t="shared" si="12"/>
        <v>100</v>
      </c>
      <c r="I75" s="41">
        <f t="shared" si="12"/>
        <v>100</v>
      </c>
      <c r="J75" s="41">
        <f t="shared" si="12"/>
        <v>100</v>
      </c>
      <c r="K75" s="42">
        <f t="shared" si="12"/>
        <v>100</v>
      </c>
      <c r="L75" s="43">
        <f t="shared" si="12"/>
        <v>100</v>
      </c>
      <c r="M75" s="44">
        <f t="shared" si="12"/>
        <v>100</v>
      </c>
      <c r="N75" s="44">
        <f t="shared" si="12"/>
        <v>100</v>
      </c>
      <c r="O75" s="42">
        <f t="shared" si="12"/>
        <v>100</v>
      </c>
      <c r="P75" s="43">
        <f t="shared" si="12"/>
        <v>100</v>
      </c>
      <c r="Q75" s="44">
        <f t="shared" si="12"/>
        <v>100</v>
      </c>
      <c r="R75" s="44">
        <f t="shared" si="12"/>
        <v>100</v>
      </c>
      <c r="S75" s="42">
        <f t="shared" si="12"/>
        <v>100</v>
      </c>
    </row>
    <row r="76" spans="2:19" ht="14" customHeight="1" thickBot="1" x14ac:dyDescent="0.2">
      <c r="B76" s="194"/>
      <c r="C76" s="195"/>
      <c r="D76" s="45">
        <f>IF(Configure!$F$6="","",Configure!$F$6)</f>
        <v>94</v>
      </c>
      <c r="E76" s="46">
        <f t="shared" si="12"/>
        <v>94</v>
      </c>
      <c r="F76" s="46">
        <f t="shared" si="12"/>
        <v>94</v>
      </c>
      <c r="G76" s="47">
        <f t="shared" si="12"/>
        <v>94</v>
      </c>
      <c r="H76" s="45">
        <f t="shared" si="12"/>
        <v>94</v>
      </c>
      <c r="I76" s="46">
        <f t="shared" si="12"/>
        <v>94</v>
      </c>
      <c r="J76" s="46">
        <f t="shared" si="12"/>
        <v>94</v>
      </c>
      <c r="K76" s="47">
        <f t="shared" si="12"/>
        <v>94</v>
      </c>
      <c r="L76" s="48">
        <f t="shared" si="12"/>
        <v>94</v>
      </c>
      <c r="M76" s="49">
        <f t="shared" si="12"/>
        <v>94</v>
      </c>
      <c r="N76" s="49">
        <f t="shared" si="12"/>
        <v>94</v>
      </c>
      <c r="O76" s="47">
        <f t="shared" si="12"/>
        <v>94</v>
      </c>
      <c r="P76" s="48">
        <f t="shared" si="12"/>
        <v>94</v>
      </c>
      <c r="Q76" s="49">
        <f t="shared" si="12"/>
        <v>94</v>
      </c>
      <c r="R76" s="49">
        <f t="shared" si="12"/>
        <v>94</v>
      </c>
      <c r="S76" s="47">
        <f t="shared" si="12"/>
        <v>94</v>
      </c>
    </row>
    <row r="77" spans="2:19" ht="14" customHeight="1" x14ac:dyDescent="0.15">
      <c r="B77" s="194"/>
      <c r="C77" s="195"/>
      <c r="D77" s="152">
        <f>IF(Configure!$H$21=2,Configure!$L6,IF(Configure!$H$21=3,Configure!$N6,IF(Configure!$H$21=4,Configure!$P6)))</f>
        <v>111.43</v>
      </c>
      <c r="E77" s="153">
        <f t="shared" ref="E77:G78" si="13">D77</f>
        <v>111.43</v>
      </c>
      <c r="F77" s="153">
        <f t="shared" si="13"/>
        <v>111.43</v>
      </c>
      <c r="G77" s="154">
        <f t="shared" si="13"/>
        <v>111.43</v>
      </c>
      <c r="H77" s="152">
        <f>IF(Configure!$J$21=2,Configure!$L6,IF(Configure!$J$21=3,Configure!$N6,IF(Configure!$J$21=4,Configure!$P6)))</f>
        <v>111.43</v>
      </c>
      <c r="I77" s="153">
        <f t="shared" ref="I77:K78" si="14">H77</f>
        <v>111.43</v>
      </c>
      <c r="J77" s="153">
        <f t="shared" si="14"/>
        <v>111.43</v>
      </c>
      <c r="K77" s="154">
        <f t="shared" si="14"/>
        <v>111.43</v>
      </c>
      <c r="L77" s="155">
        <f>IF(Configure!$L$21=2,Configure!$L6,IF(Configure!$L$21=3,Configure!$N6,IF(Configure!$L$21=4,Configure!$P6)))</f>
        <v>111.43</v>
      </c>
      <c r="M77" s="156">
        <f t="shared" ref="M77:O78" si="15">L77</f>
        <v>111.43</v>
      </c>
      <c r="N77" s="156">
        <f t="shared" si="15"/>
        <v>111.43</v>
      </c>
      <c r="O77" s="154">
        <f t="shared" si="15"/>
        <v>111.43</v>
      </c>
      <c r="P77" s="155">
        <f>IF(Configure!$N$21=2,Configure!$L6,IF(Configure!$N$21=3,Configure!$N6,IF(Configure!$N$21=4,Configure!$P6)))</f>
        <v>111.43</v>
      </c>
      <c r="Q77" s="156">
        <f t="shared" ref="Q77:S78" si="16">P77</f>
        <v>111.43</v>
      </c>
      <c r="R77" s="156">
        <f t="shared" si="16"/>
        <v>111.43</v>
      </c>
      <c r="S77" s="154">
        <f t="shared" si="16"/>
        <v>111.43</v>
      </c>
    </row>
    <row r="78" spans="2:19" ht="14" customHeight="1" thickBot="1" x14ac:dyDescent="0.2">
      <c r="B78" s="196"/>
      <c r="C78" s="197"/>
      <c r="D78" s="157">
        <f>IF(Configure!$H$21=2,Configure!$K6,IF(Configure!$H$21=3,Configure!$M6,IF(Configure!$H$21=4,Configure!$O6)))</f>
        <v>88.57</v>
      </c>
      <c r="E78" s="158">
        <f t="shared" si="13"/>
        <v>88.57</v>
      </c>
      <c r="F78" s="158">
        <f t="shared" si="13"/>
        <v>88.57</v>
      </c>
      <c r="G78" s="159">
        <f t="shared" si="13"/>
        <v>88.57</v>
      </c>
      <c r="H78" s="157">
        <f>IF(Configure!$J$21=2,Configure!$K6,IF(Configure!$J$21=3,Configure!$M6,IF(Configure!$J$21=4,Configure!$O6)))</f>
        <v>88.57</v>
      </c>
      <c r="I78" s="158">
        <f t="shared" si="14"/>
        <v>88.57</v>
      </c>
      <c r="J78" s="158">
        <f t="shared" si="14"/>
        <v>88.57</v>
      </c>
      <c r="K78" s="159">
        <f t="shared" si="14"/>
        <v>88.57</v>
      </c>
      <c r="L78" s="160">
        <f>IF(Configure!$L$21=2,Configure!$K6,IF(Configure!$L$21=3,Configure!$M6,IF(Configure!$L$21=4,Configure!$O6)))</f>
        <v>88.57</v>
      </c>
      <c r="M78" s="161">
        <f t="shared" si="15"/>
        <v>88.57</v>
      </c>
      <c r="N78" s="161">
        <f t="shared" si="15"/>
        <v>88.57</v>
      </c>
      <c r="O78" s="159">
        <f t="shared" si="15"/>
        <v>88.57</v>
      </c>
      <c r="P78" s="160">
        <f>IF(Configure!$N$21=2,Configure!$K6,IF(Configure!$N$21=3,Configure!$M6,IF(Configure!$N$21=4,Configure!$O6)))</f>
        <v>88.57</v>
      </c>
      <c r="Q78" s="161">
        <f t="shared" si="16"/>
        <v>88.57</v>
      </c>
      <c r="R78" s="161">
        <f t="shared" si="16"/>
        <v>88.57</v>
      </c>
      <c r="S78" s="159">
        <f t="shared" si="16"/>
        <v>88.57</v>
      </c>
    </row>
    <row r="79" spans="2:19" ht="14" customHeight="1" x14ac:dyDescent="0.15">
      <c r="B79" s="192" t="s">
        <v>3</v>
      </c>
      <c r="C79" s="193"/>
      <c r="D79" s="31">
        <f>IF(Configure!$G$7="","",Configure!$G$7)</f>
        <v>101</v>
      </c>
      <c r="E79" s="41">
        <f t="shared" ref="E79:E112" si="17">IF(D79="","",D79)</f>
        <v>101</v>
      </c>
      <c r="F79" s="41">
        <f t="shared" ref="F79:S79" si="18">IF(E79="","",E79)</f>
        <v>101</v>
      </c>
      <c r="G79" s="42">
        <f t="shared" si="18"/>
        <v>101</v>
      </c>
      <c r="H79" s="31">
        <f t="shared" si="18"/>
        <v>101</v>
      </c>
      <c r="I79" s="41">
        <f t="shared" si="18"/>
        <v>101</v>
      </c>
      <c r="J79" s="41">
        <f t="shared" si="18"/>
        <v>101</v>
      </c>
      <c r="K79" s="42">
        <f t="shared" si="18"/>
        <v>101</v>
      </c>
      <c r="L79" s="43">
        <f t="shared" si="18"/>
        <v>101</v>
      </c>
      <c r="M79" s="44">
        <f t="shared" si="18"/>
        <v>101</v>
      </c>
      <c r="N79" s="44">
        <f t="shared" si="18"/>
        <v>101</v>
      </c>
      <c r="O79" s="42">
        <f t="shared" si="18"/>
        <v>101</v>
      </c>
      <c r="P79" s="43">
        <f t="shared" si="18"/>
        <v>101</v>
      </c>
      <c r="Q79" s="44">
        <f t="shared" si="18"/>
        <v>101</v>
      </c>
      <c r="R79" s="44">
        <f t="shared" si="18"/>
        <v>101</v>
      </c>
      <c r="S79" s="42">
        <f t="shared" si="18"/>
        <v>101</v>
      </c>
    </row>
    <row r="80" spans="2:19" ht="14" customHeight="1" thickBot="1" x14ac:dyDescent="0.2">
      <c r="B80" s="194"/>
      <c r="C80" s="195"/>
      <c r="D80" s="45">
        <f>IF(Configure!F7="","",Configure!F7)</f>
        <v>89</v>
      </c>
      <c r="E80" s="46">
        <f t="shared" si="17"/>
        <v>89</v>
      </c>
      <c r="F80" s="46">
        <f t="shared" ref="F80:S80" si="19">IF(E80="","",E80)</f>
        <v>89</v>
      </c>
      <c r="G80" s="47">
        <f t="shared" si="19"/>
        <v>89</v>
      </c>
      <c r="H80" s="45">
        <f t="shared" si="19"/>
        <v>89</v>
      </c>
      <c r="I80" s="46">
        <f t="shared" si="19"/>
        <v>89</v>
      </c>
      <c r="J80" s="46">
        <f t="shared" si="19"/>
        <v>89</v>
      </c>
      <c r="K80" s="47">
        <f t="shared" si="19"/>
        <v>89</v>
      </c>
      <c r="L80" s="48">
        <f t="shared" si="19"/>
        <v>89</v>
      </c>
      <c r="M80" s="49">
        <f t="shared" si="19"/>
        <v>89</v>
      </c>
      <c r="N80" s="49">
        <f t="shared" si="19"/>
        <v>89</v>
      </c>
      <c r="O80" s="47">
        <f t="shared" si="19"/>
        <v>89</v>
      </c>
      <c r="P80" s="48">
        <f t="shared" si="19"/>
        <v>89</v>
      </c>
      <c r="Q80" s="49">
        <f t="shared" si="19"/>
        <v>89</v>
      </c>
      <c r="R80" s="49">
        <f t="shared" si="19"/>
        <v>89</v>
      </c>
      <c r="S80" s="47">
        <f t="shared" si="19"/>
        <v>89</v>
      </c>
    </row>
    <row r="81" spans="2:19" ht="14" customHeight="1" x14ac:dyDescent="0.15">
      <c r="B81" s="194" t="s">
        <v>3</v>
      </c>
      <c r="C81" s="195"/>
      <c r="D81" s="152">
        <f>IF(Configure!$H$21=2,Configure!$L7,IF(Configure!$H$21=3,Configure!$N7,IF(Configure!$H$21=4,Configure!$P7)))</f>
        <v>106.43</v>
      </c>
      <c r="E81" s="153">
        <f t="shared" ref="E81:G82" si="20">D81</f>
        <v>106.43</v>
      </c>
      <c r="F81" s="153">
        <f t="shared" si="20"/>
        <v>106.43</v>
      </c>
      <c r="G81" s="154">
        <f t="shared" si="20"/>
        <v>106.43</v>
      </c>
      <c r="H81" s="152">
        <f>IF(Configure!$J$21=2,Configure!$L7,IF(Configure!$J$21=3,Configure!$N7,IF(Configure!$J$21=4,Configure!$P7)))</f>
        <v>106.43</v>
      </c>
      <c r="I81" s="153">
        <f t="shared" ref="I81:K82" si="21">H81</f>
        <v>106.43</v>
      </c>
      <c r="J81" s="153">
        <f t="shared" si="21"/>
        <v>106.43</v>
      </c>
      <c r="K81" s="154">
        <f t="shared" si="21"/>
        <v>106.43</v>
      </c>
      <c r="L81" s="152">
        <f>IF(Configure!$L$21=2,Configure!$L7,IF(Configure!$L$21=3,Configure!$N7,IF(Configure!$L$21=4,Configure!$P7)))</f>
        <v>106.43</v>
      </c>
      <c r="M81" s="156">
        <f t="shared" ref="M81:O82" si="22">L81</f>
        <v>106.43</v>
      </c>
      <c r="N81" s="156">
        <f t="shared" si="22"/>
        <v>106.43</v>
      </c>
      <c r="O81" s="154">
        <f t="shared" si="22"/>
        <v>106.43</v>
      </c>
      <c r="P81" s="152">
        <f>IF(Configure!$N$21=2,Configure!$L7,IF(Configure!$N$21=3,Configure!$N7,IF(Configure!$N$21=4,Configure!$P7)))</f>
        <v>106.43</v>
      </c>
      <c r="Q81" s="156">
        <f t="shared" ref="Q81:S82" si="23">P81</f>
        <v>106.43</v>
      </c>
      <c r="R81" s="156">
        <f t="shared" si="23"/>
        <v>106.43</v>
      </c>
      <c r="S81" s="154">
        <f t="shared" si="23"/>
        <v>106.43</v>
      </c>
    </row>
    <row r="82" spans="2:19" ht="14" customHeight="1" thickBot="1" x14ac:dyDescent="0.2">
      <c r="B82" s="196"/>
      <c r="C82" s="197"/>
      <c r="D82" s="157">
        <f>IF(Configure!$H$21=2,Configure!$K7,IF(Configure!$H$21=3,Configure!$M7,IF(Configure!$H$21=4,Configure!$O7)))</f>
        <v>83.57</v>
      </c>
      <c r="E82" s="158">
        <f t="shared" si="20"/>
        <v>83.57</v>
      </c>
      <c r="F82" s="158">
        <f t="shared" si="20"/>
        <v>83.57</v>
      </c>
      <c r="G82" s="159">
        <f t="shared" si="20"/>
        <v>83.57</v>
      </c>
      <c r="H82" s="157">
        <f>IF(Configure!$J$21=2,Configure!$K7,IF(Configure!$J$21=3,Configure!$M7,IF(Configure!$J$21=4,Configure!$O7)))</f>
        <v>83.57</v>
      </c>
      <c r="I82" s="158">
        <f t="shared" si="21"/>
        <v>83.57</v>
      </c>
      <c r="J82" s="158">
        <f t="shared" si="21"/>
        <v>83.57</v>
      </c>
      <c r="K82" s="159">
        <f t="shared" si="21"/>
        <v>83.57</v>
      </c>
      <c r="L82" s="157">
        <f>IF(Configure!$L$21=2,Configure!$K7,IF(Configure!$L$21=3,Configure!$M7,IF(Configure!$L$21=4,Configure!$O7)))</f>
        <v>83.57</v>
      </c>
      <c r="M82" s="161">
        <f t="shared" si="22"/>
        <v>83.57</v>
      </c>
      <c r="N82" s="161">
        <f t="shared" si="22"/>
        <v>83.57</v>
      </c>
      <c r="O82" s="159">
        <f t="shared" si="22"/>
        <v>83.57</v>
      </c>
      <c r="P82" s="157">
        <f>IF(Configure!$N$21=2,Configure!$K7,IF(Configure!$N$21=3,Configure!$M7,IF(Configure!$N$21=4,Configure!$O7)))</f>
        <v>83.57</v>
      </c>
      <c r="Q82" s="161">
        <f t="shared" si="23"/>
        <v>83.57</v>
      </c>
      <c r="R82" s="161">
        <f t="shared" si="23"/>
        <v>83.57</v>
      </c>
      <c r="S82" s="159">
        <f t="shared" si="23"/>
        <v>83.57</v>
      </c>
    </row>
    <row r="83" spans="2:19" ht="14" customHeight="1" x14ac:dyDescent="0.15">
      <c r="B83" s="192" t="s">
        <v>4</v>
      </c>
      <c r="C83" s="193"/>
      <c r="D83" s="31">
        <f>IF(Configure!G8="","",Configure!G8)</f>
        <v>92</v>
      </c>
      <c r="E83" s="41">
        <f t="shared" si="17"/>
        <v>92</v>
      </c>
      <c r="F83" s="41">
        <f t="shared" ref="F83:S83" si="24">IF(E83="","",E83)</f>
        <v>92</v>
      </c>
      <c r="G83" s="42">
        <f t="shared" si="24"/>
        <v>92</v>
      </c>
      <c r="H83" s="31">
        <f t="shared" si="24"/>
        <v>92</v>
      </c>
      <c r="I83" s="41">
        <f t="shared" si="24"/>
        <v>92</v>
      </c>
      <c r="J83" s="41">
        <f t="shared" si="24"/>
        <v>92</v>
      </c>
      <c r="K83" s="42">
        <f t="shared" si="24"/>
        <v>92</v>
      </c>
      <c r="L83" s="43">
        <f t="shared" si="24"/>
        <v>92</v>
      </c>
      <c r="M83" s="44">
        <f t="shared" si="24"/>
        <v>92</v>
      </c>
      <c r="N83" s="44">
        <f t="shared" si="24"/>
        <v>92</v>
      </c>
      <c r="O83" s="42">
        <f t="shared" si="24"/>
        <v>92</v>
      </c>
      <c r="P83" s="43">
        <f t="shared" si="24"/>
        <v>92</v>
      </c>
      <c r="Q83" s="44">
        <f t="shared" si="24"/>
        <v>92</v>
      </c>
      <c r="R83" s="44">
        <f t="shared" si="24"/>
        <v>92</v>
      </c>
      <c r="S83" s="42">
        <f t="shared" si="24"/>
        <v>92</v>
      </c>
    </row>
    <row r="84" spans="2:19" ht="14" customHeight="1" thickBot="1" x14ac:dyDescent="0.2">
      <c r="B84" s="194"/>
      <c r="C84" s="195"/>
      <c r="D84" s="45">
        <f>IF(Configure!F8="","",Configure!F8)</f>
        <v>80</v>
      </c>
      <c r="E84" s="46">
        <f t="shared" si="17"/>
        <v>80</v>
      </c>
      <c r="F84" s="46">
        <f t="shared" ref="F84:S84" si="25">IF(E84="","",E84)</f>
        <v>80</v>
      </c>
      <c r="G84" s="47">
        <f t="shared" si="25"/>
        <v>80</v>
      </c>
      <c r="H84" s="45">
        <f t="shared" si="25"/>
        <v>80</v>
      </c>
      <c r="I84" s="46">
        <f t="shared" si="25"/>
        <v>80</v>
      </c>
      <c r="J84" s="46">
        <f t="shared" si="25"/>
        <v>80</v>
      </c>
      <c r="K84" s="47">
        <f t="shared" si="25"/>
        <v>80</v>
      </c>
      <c r="L84" s="48">
        <f t="shared" si="25"/>
        <v>80</v>
      </c>
      <c r="M84" s="49">
        <f t="shared" si="25"/>
        <v>80</v>
      </c>
      <c r="N84" s="49">
        <f t="shared" si="25"/>
        <v>80</v>
      </c>
      <c r="O84" s="47">
        <f t="shared" si="25"/>
        <v>80</v>
      </c>
      <c r="P84" s="48">
        <f t="shared" si="25"/>
        <v>80</v>
      </c>
      <c r="Q84" s="49">
        <f t="shared" si="25"/>
        <v>80</v>
      </c>
      <c r="R84" s="49">
        <f t="shared" si="25"/>
        <v>80</v>
      </c>
      <c r="S84" s="47">
        <f t="shared" si="25"/>
        <v>80</v>
      </c>
    </row>
    <row r="85" spans="2:19" ht="14" customHeight="1" x14ac:dyDescent="0.15">
      <c r="B85" s="194" t="s">
        <v>4</v>
      </c>
      <c r="C85" s="195"/>
      <c r="D85" s="152">
        <f>IF(Configure!$H$21=2,Configure!$L8,IF(Configure!$H$21=3,Configure!$N8,IF(Configure!$H$21=4,Configure!$P8)))</f>
        <v>97.43</v>
      </c>
      <c r="E85" s="153">
        <f t="shared" ref="E85:G86" si="26">D85</f>
        <v>97.43</v>
      </c>
      <c r="F85" s="153">
        <f t="shared" si="26"/>
        <v>97.43</v>
      </c>
      <c r="G85" s="154">
        <f t="shared" si="26"/>
        <v>97.43</v>
      </c>
      <c r="H85" s="152">
        <f>IF(Configure!$J$21=2,Configure!$L8,IF(Configure!$J$21=3,Configure!$N8,IF(Configure!$J$21=4,Configure!$P8)))</f>
        <v>97.43</v>
      </c>
      <c r="I85" s="153">
        <f t="shared" ref="I85:K86" si="27">H85</f>
        <v>97.43</v>
      </c>
      <c r="J85" s="153">
        <f t="shared" si="27"/>
        <v>97.43</v>
      </c>
      <c r="K85" s="154">
        <f t="shared" si="27"/>
        <v>97.43</v>
      </c>
      <c r="L85" s="152">
        <f>IF(Configure!$L$21=2,Configure!$L8,IF(Configure!$L$21=3,Configure!$N8,IF(Configure!$L$21=4,Configure!$P8)))</f>
        <v>97.43</v>
      </c>
      <c r="M85" s="156">
        <f t="shared" ref="M85:O86" si="28">L85</f>
        <v>97.43</v>
      </c>
      <c r="N85" s="156">
        <f t="shared" si="28"/>
        <v>97.43</v>
      </c>
      <c r="O85" s="154">
        <f t="shared" si="28"/>
        <v>97.43</v>
      </c>
      <c r="P85" s="152">
        <f>IF(Configure!$N$21=2,Configure!$L8,IF(Configure!$N$21=3,Configure!$N8,IF(Configure!$N$21=4,Configure!$P8)))</f>
        <v>97.43</v>
      </c>
      <c r="Q85" s="156">
        <f t="shared" ref="Q85:S86" si="29">P85</f>
        <v>97.43</v>
      </c>
      <c r="R85" s="156">
        <f t="shared" si="29"/>
        <v>97.43</v>
      </c>
      <c r="S85" s="154">
        <f t="shared" si="29"/>
        <v>97.43</v>
      </c>
    </row>
    <row r="86" spans="2:19" ht="14" customHeight="1" thickBot="1" x14ac:dyDescent="0.2">
      <c r="B86" s="196"/>
      <c r="C86" s="197"/>
      <c r="D86" s="157">
        <f>IF(Configure!$H$21=2,Configure!$K8,IF(Configure!$H$21=3,Configure!$M8,IF(Configure!$H$21=4,Configure!$O8)))</f>
        <v>74.569999999999993</v>
      </c>
      <c r="E86" s="158">
        <f t="shared" si="26"/>
        <v>74.569999999999993</v>
      </c>
      <c r="F86" s="158">
        <f t="shared" si="26"/>
        <v>74.569999999999993</v>
      </c>
      <c r="G86" s="159">
        <f t="shared" si="26"/>
        <v>74.569999999999993</v>
      </c>
      <c r="H86" s="157">
        <f>IF(Configure!$J$21=2,Configure!$K8,IF(Configure!$J$21=3,Configure!$M8,IF(Configure!$J$21=4,Configure!$O8)))</f>
        <v>74.569999999999993</v>
      </c>
      <c r="I86" s="158">
        <f t="shared" si="27"/>
        <v>74.569999999999993</v>
      </c>
      <c r="J86" s="158">
        <f t="shared" si="27"/>
        <v>74.569999999999993</v>
      </c>
      <c r="K86" s="159">
        <f t="shared" si="27"/>
        <v>74.569999999999993</v>
      </c>
      <c r="L86" s="157">
        <f>IF(Configure!$L$21=2,Configure!$K8,IF(Configure!$L$21=3,Configure!$M8,IF(Configure!$L$21=4,Configure!$O8)))</f>
        <v>74.569999999999993</v>
      </c>
      <c r="M86" s="161">
        <f t="shared" si="28"/>
        <v>74.569999999999993</v>
      </c>
      <c r="N86" s="161">
        <f t="shared" si="28"/>
        <v>74.569999999999993</v>
      </c>
      <c r="O86" s="159">
        <f t="shared" si="28"/>
        <v>74.569999999999993</v>
      </c>
      <c r="P86" s="157">
        <f>IF(Configure!$N$21=2,Configure!$K8,IF(Configure!$N$21=3,Configure!$M8,IF(Configure!$N$21=4,Configure!$O8)))</f>
        <v>74.569999999999993</v>
      </c>
      <c r="Q86" s="161">
        <f t="shared" si="29"/>
        <v>74.569999999999993</v>
      </c>
      <c r="R86" s="161">
        <f t="shared" si="29"/>
        <v>74.569999999999993</v>
      </c>
      <c r="S86" s="159">
        <f t="shared" si="29"/>
        <v>74.569999999999993</v>
      </c>
    </row>
    <row r="87" spans="2:19" ht="14" customHeight="1" x14ac:dyDescent="0.15">
      <c r="B87" s="192" t="s">
        <v>5</v>
      </c>
      <c r="C87" s="193"/>
      <c r="D87" s="31">
        <f>IF(Configure!G9="","",Configure!G9)</f>
        <v>74</v>
      </c>
      <c r="E87" s="41">
        <f t="shared" si="17"/>
        <v>74</v>
      </c>
      <c r="F87" s="41">
        <f t="shared" ref="F87:S87" si="30">IF(E87="","",E87)</f>
        <v>74</v>
      </c>
      <c r="G87" s="42">
        <f t="shared" si="30"/>
        <v>74</v>
      </c>
      <c r="H87" s="31">
        <f t="shared" si="30"/>
        <v>74</v>
      </c>
      <c r="I87" s="41">
        <f t="shared" si="30"/>
        <v>74</v>
      </c>
      <c r="J87" s="41">
        <f t="shared" si="30"/>
        <v>74</v>
      </c>
      <c r="K87" s="42">
        <f t="shared" si="30"/>
        <v>74</v>
      </c>
      <c r="L87" s="43">
        <f t="shared" si="30"/>
        <v>74</v>
      </c>
      <c r="M87" s="44">
        <f t="shared" si="30"/>
        <v>74</v>
      </c>
      <c r="N87" s="44">
        <f t="shared" si="30"/>
        <v>74</v>
      </c>
      <c r="O87" s="42">
        <f t="shared" si="30"/>
        <v>74</v>
      </c>
      <c r="P87" s="43">
        <f t="shared" si="30"/>
        <v>74</v>
      </c>
      <c r="Q87" s="44">
        <f t="shared" si="30"/>
        <v>74</v>
      </c>
      <c r="R87" s="44">
        <f t="shared" si="30"/>
        <v>74</v>
      </c>
      <c r="S87" s="42">
        <f t="shared" si="30"/>
        <v>74</v>
      </c>
    </row>
    <row r="88" spans="2:19" ht="14" customHeight="1" thickBot="1" x14ac:dyDescent="0.2">
      <c r="B88" s="194"/>
      <c r="C88" s="195"/>
      <c r="D88" s="45">
        <f>IF(Configure!F9="","",Configure!F9)</f>
        <v>62</v>
      </c>
      <c r="E88" s="46">
        <f t="shared" si="17"/>
        <v>62</v>
      </c>
      <c r="F88" s="46">
        <f t="shared" ref="F88:S88" si="31">IF(E88="","",E88)</f>
        <v>62</v>
      </c>
      <c r="G88" s="47">
        <f t="shared" si="31"/>
        <v>62</v>
      </c>
      <c r="H88" s="45">
        <f t="shared" si="31"/>
        <v>62</v>
      </c>
      <c r="I88" s="46">
        <f t="shared" si="31"/>
        <v>62</v>
      </c>
      <c r="J88" s="46">
        <f t="shared" si="31"/>
        <v>62</v>
      </c>
      <c r="K88" s="47">
        <f t="shared" si="31"/>
        <v>62</v>
      </c>
      <c r="L88" s="48">
        <f t="shared" si="31"/>
        <v>62</v>
      </c>
      <c r="M88" s="49">
        <f t="shared" si="31"/>
        <v>62</v>
      </c>
      <c r="N88" s="49">
        <f t="shared" si="31"/>
        <v>62</v>
      </c>
      <c r="O88" s="47">
        <f t="shared" si="31"/>
        <v>62</v>
      </c>
      <c r="P88" s="48">
        <f t="shared" si="31"/>
        <v>62</v>
      </c>
      <c r="Q88" s="49">
        <f t="shared" si="31"/>
        <v>62</v>
      </c>
      <c r="R88" s="49">
        <f t="shared" si="31"/>
        <v>62</v>
      </c>
      <c r="S88" s="47">
        <f t="shared" si="31"/>
        <v>62</v>
      </c>
    </row>
    <row r="89" spans="2:19" ht="14" customHeight="1" x14ac:dyDescent="0.15">
      <c r="B89" s="194" t="s">
        <v>5</v>
      </c>
      <c r="C89" s="195"/>
      <c r="D89" s="152">
        <f>IF(Configure!$H$21=2,Configure!$L9,IF(Configure!$H$21=3,Configure!$N9,IF(Configure!$H$21=4,Configure!$P9)))</f>
        <v>79.430000000000007</v>
      </c>
      <c r="E89" s="153">
        <f t="shared" ref="E89:G90" si="32">D89</f>
        <v>79.430000000000007</v>
      </c>
      <c r="F89" s="153">
        <f t="shared" si="32"/>
        <v>79.430000000000007</v>
      </c>
      <c r="G89" s="154">
        <f t="shared" si="32"/>
        <v>79.430000000000007</v>
      </c>
      <c r="H89" s="152">
        <f>IF(Configure!$J$21=2,Configure!$L9,IF(Configure!$J$21=3,Configure!$N9,IF(Configure!$J$21=4,Configure!$P9)))</f>
        <v>79.430000000000007</v>
      </c>
      <c r="I89" s="153">
        <f t="shared" ref="I89:K90" si="33">H89</f>
        <v>79.430000000000007</v>
      </c>
      <c r="J89" s="153">
        <f t="shared" si="33"/>
        <v>79.430000000000007</v>
      </c>
      <c r="K89" s="154">
        <f t="shared" si="33"/>
        <v>79.430000000000007</v>
      </c>
      <c r="L89" s="152">
        <f>IF(Configure!$L$21=2,Configure!$L9,IF(Configure!$L$21=3,Configure!$N9,IF(Configure!$L$21=4,Configure!$P9)))</f>
        <v>79.430000000000007</v>
      </c>
      <c r="M89" s="156">
        <f t="shared" ref="M89:O90" si="34">L89</f>
        <v>79.430000000000007</v>
      </c>
      <c r="N89" s="156">
        <f t="shared" si="34"/>
        <v>79.430000000000007</v>
      </c>
      <c r="O89" s="154">
        <f t="shared" si="34"/>
        <v>79.430000000000007</v>
      </c>
      <c r="P89" s="152">
        <f>IF(Configure!$N$21=2,Configure!$L9,IF(Configure!$N$21=3,Configure!$N9,IF(Configure!$N$21=4,Configure!$P9)))</f>
        <v>79.430000000000007</v>
      </c>
      <c r="Q89" s="156">
        <f t="shared" ref="Q89:S90" si="35">P89</f>
        <v>79.430000000000007</v>
      </c>
      <c r="R89" s="156">
        <f t="shared" si="35"/>
        <v>79.430000000000007</v>
      </c>
      <c r="S89" s="154">
        <f t="shared" si="35"/>
        <v>79.430000000000007</v>
      </c>
    </row>
    <row r="90" spans="2:19" ht="14" customHeight="1" thickBot="1" x14ac:dyDescent="0.2">
      <c r="B90" s="196"/>
      <c r="C90" s="197"/>
      <c r="D90" s="157">
        <f>IF(Configure!$H$21=2,Configure!$K9,IF(Configure!$H$21=3,Configure!$M9,IF(Configure!$H$21=4,Configure!$O9)))</f>
        <v>56.57</v>
      </c>
      <c r="E90" s="158">
        <f t="shared" si="32"/>
        <v>56.57</v>
      </c>
      <c r="F90" s="158">
        <f t="shared" si="32"/>
        <v>56.57</v>
      </c>
      <c r="G90" s="159">
        <f t="shared" si="32"/>
        <v>56.57</v>
      </c>
      <c r="H90" s="157">
        <f>IF(Configure!$J$21=2,Configure!$K9,IF(Configure!$J$21=3,Configure!$M9,IF(Configure!$J$21=4,Configure!$O9)))</f>
        <v>56.57</v>
      </c>
      <c r="I90" s="158">
        <f t="shared" si="33"/>
        <v>56.57</v>
      </c>
      <c r="J90" s="158">
        <f t="shared" si="33"/>
        <v>56.57</v>
      </c>
      <c r="K90" s="159">
        <f t="shared" si="33"/>
        <v>56.57</v>
      </c>
      <c r="L90" s="157">
        <f>IF(Configure!$L$21=2,Configure!$K9,IF(Configure!$L$21=3,Configure!$M9,IF(Configure!$L$21=4,Configure!$O9)))</f>
        <v>56.57</v>
      </c>
      <c r="M90" s="161">
        <f t="shared" si="34"/>
        <v>56.57</v>
      </c>
      <c r="N90" s="161">
        <f t="shared" si="34"/>
        <v>56.57</v>
      </c>
      <c r="O90" s="159">
        <f t="shared" si="34"/>
        <v>56.57</v>
      </c>
      <c r="P90" s="157">
        <f>IF(Configure!$N$21=2,Configure!$K9,IF(Configure!$N$21=3,Configure!$M9,IF(Configure!$N$21=4,Configure!$O9)))</f>
        <v>56.57</v>
      </c>
      <c r="Q90" s="161">
        <f t="shared" si="35"/>
        <v>56.57</v>
      </c>
      <c r="R90" s="161">
        <f t="shared" si="35"/>
        <v>56.57</v>
      </c>
      <c r="S90" s="159">
        <f t="shared" si="35"/>
        <v>56.57</v>
      </c>
    </row>
    <row r="91" spans="2:19" ht="14" customHeight="1" x14ac:dyDescent="0.15">
      <c r="B91" s="192" t="s">
        <v>6</v>
      </c>
      <c r="C91" s="193"/>
      <c r="D91" s="31" t="str">
        <f>IF(Configure!G10="","",Configure!G10)</f>
        <v/>
      </c>
      <c r="E91" s="41" t="str">
        <f t="shared" si="17"/>
        <v/>
      </c>
      <c r="F91" s="41" t="str">
        <f t="shared" ref="F91:S91" si="36">IF(E91="","",E91)</f>
        <v/>
      </c>
      <c r="G91" s="42" t="str">
        <f t="shared" si="36"/>
        <v/>
      </c>
      <c r="H91" s="31" t="str">
        <f t="shared" si="36"/>
        <v/>
      </c>
      <c r="I91" s="41" t="str">
        <f t="shared" si="36"/>
        <v/>
      </c>
      <c r="J91" s="41" t="str">
        <f t="shared" si="36"/>
        <v/>
      </c>
      <c r="K91" s="42" t="str">
        <f t="shared" si="36"/>
        <v/>
      </c>
      <c r="L91" s="43" t="str">
        <f t="shared" si="36"/>
        <v/>
      </c>
      <c r="M91" s="44" t="str">
        <f t="shared" si="36"/>
        <v/>
      </c>
      <c r="N91" s="44" t="str">
        <f t="shared" si="36"/>
        <v/>
      </c>
      <c r="O91" s="42" t="str">
        <f t="shared" si="36"/>
        <v/>
      </c>
      <c r="P91" s="43" t="str">
        <f t="shared" si="36"/>
        <v/>
      </c>
      <c r="Q91" s="44" t="str">
        <f t="shared" si="36"/>
        <v/>
      </c>
      <c r="R91" s="44" t="str">
        <f t="shared" si="36"/>
        <v/>
      </c>
      <c r="S91" s="42" t="str">
        <f t="shared" si="36"/>
        <v/>
      </c>
    </row>
    <row r="92" spans="2:19" ht="14" customHeight="1" thickBot="1" x14ac:dyDescent="0.2">
      <c r="B92" s="194"/>
      <c r="C92" s="195"/>
      <c r="D92" s="45" t="str">
        <f>IF(Configure!F10="","",Configure!F10)</f>
        <v/>
      </c>
      <c r="E92" s="46" t="str">
        <f t="shared" si="17"/>
        <v/>
      </c>
      <c r="F92" s="46" t="str">
        <f t="shared" ref="F92:S92" si="37">IF(E92="","",E92)</f>
        <v/>
      </c>
      <c r="G92" s="47" t="str">
        <f t="shared" si="37"/>
        <v/>
      </c>
      <c r="H92" s="45" t="str">
        <f t="shared" si="37"/>
        <v/>
      </c>
      <c r="I92" s="46" t="str">
        <f t="shared" si="37"/>
        <v/>
      </c>
      <c r="J92" s="46" t="str">
        <f t="shared" si="37"/>
        <v/>
      </c>
      <c r="K92" s="47" t="str">
        <f t="shared" si="37"/>
        <v/>
      </c>
      <c r="L92" s="48" t="str">
        <f t="shared" si="37"/>
        <v/>
      </c>
      <c r="M92" s="49" t="str">
        <f t="shared" si="37"/>
        <v/>
      </c>
      <c r="N92" s="49" t="str">
        <f t="shared" si="37"/>
        <v/>
      </c>
      <c r="O92" s="47" t="str">
        <f t="shared" si="37"/>
        <v/>
      </c>
      <c r="P92" s="48" t="str">
        <f t="shared" si="37"/>
        <v/>
      </c>
      <c r="Q92" s="49" t="str">
        <f t="shared" si="37"/>
        <v/>
      </c>
      <c r="R92" s="49" t="str">
        <f t="shared" si="37"/>
        <v/>
      </c>
      <c r="S92" s="47" t="str">
        <f t="shared" si="37"/>
        <v/>
      </c>
    </row>
    <row r="93" spans="2:19" ht="14" customHeight="1" x14ac:dyDescent="0.15">
      <c r="B93" s="194" t="s">
        <v>6</v>
      </c>
      <c r="C93" s="195"/>
      <c r="D93" s="31" t="str">
        <f>IF(Configure!L10="","",Configure!L10)</f>
        <v/>
      </c>
      <c r="E93" s="41" t="str">
        <f t="shared" si="17"/>
        <v/>
      </c>
      <c r="F93" s="41" t="str">
        <f t="shared" ref="F93:S93" si="38">IF(E93="","",E93)</f>
        <v/>
      </c>
      <c r="G93" s="42" t="str">
        <f t="shared" si="38"/>
        <v/>
      </c>
      <c r="H93" s="31" t="str">
        <f t="shared" si="38"/>
        <v/>
      </c>
      <c r="I93" s="41" t="str">
        <f t="shared" si="38"/>
        <v/>
      </c>
      <c r="J93" s="41" t="str">
        <f t="shared" si="38"/>
        <v/>
      </c>
      <c r="K93" s="42" t="str">
        <f t="shared" si="38"/>
        <v/>
      </c>
      <c r="L93" s="43" t="str">
        <f t="shared" si="38"/>
        <v/>
      </c>
      <c r="M93" s="44" t="str">
        <f t="shared" si="38"/>
        <v/>
      </c>
      <c r="N93" s="44" t="str">
        <f t="shared" si="38"/>
        <v/>
      </c>
      <c r="O93" s="42" t="str">
        <f t="shared" si="38"/>
        <v/>
      </c>
      <c r="P93" s="43" t="str">
        <f t="shared" si="38"/>
        <v/>
      </c>
      <c r="Q93" s="44" t="str">
        <f t="shared" si="38"/>
        <v/>
      </c>
      <c r="R93" s="44" t="str">
        <f t="shared" si="38"/>
        <v/>
      </c>
      <c r="S93" s="42" t="str">
        <f t="shared" si="38"/>
        <v/>
      </c>
    </row>
    <row r="94" spans="2:19" ht="14" customHeight="1" thickBot="1" x14ac:dyDescent="0.2">
      <c r="B94" s="196"/>
      <c r="C94" s="197"/>
      <c r="D94" s="50" t="str">
        <f>IF(Configure!K10="","",Configure!K10)</f>
        <v/>
      </c>
      <c r="E94" s="51" t="str">
        <f t="shared" si="17"/>
        <v/>
      </c>
      <c r="F94" s="51" t="str">
        <f t="shared" ref="F94:S94" si="39">IF(E94="","",E94)</f>
        <v/>
      </c>
      <c r="G94" s="10" t="str">
        <f t="shared" si="39"/>
        <v/>
      </c>
      <c r="H94" s="50" t="str">
        <f t="shared" si="39"/>
        <v/>
      </c>
      <c r="I94" s="51" t="str">
        <f t="shared" si="39"/>
        <v/>
      </c>
      <c r="J94" s="51" t="str">
        <f t="shared" si="39"/>
        <v/>
      </c>
      <c r="K94" s="10" t="str">
        <f t="shared" si="39"/>
        <v/>
      </c>
      <c r="L94" s="52" t="str">
        <f t="shared" si="39"/>
        <v/>
      </c>
      <c r="M94" s="53" t="str">
        <f t="shared" si="39"/>
        <v/>
      </c>
      <c r="N94" s="53" t="str">
        <f t="shared" si="39"/>
        <v/>
      </c>
      <c r="O94" s="10" t="str">
        <f t="shared" si="39"/>
        <v/>
      </c>
      <c r="P94" s="52" t="str">
        <f t="shared" si="39"/>
        <v/>
      </c>
      <c r="Q94" s="53" t="str">
        <f t="shared" si="39"/>
        <v/>
      </c>
      <c r="R94" s="53" t="str">
        <f t="shared" si="39"/>
        <v/>
      </c>
      <c r="S94" s="10" t="str">
        <f t="shared" si="39"/>
        <v/>
      </c>
    </row>
    <row r="95" spans="2:19" ht="14" customHeight="1" x14ac:dyDescent="0.15">
      <c r="B95" s="192" t="s">
        <v>7</v>
      </c>
      <c r="C95" s="193"/>
      <c r="D95" s="31">
        <f>IF(Configure!G11="","",Configure!G11)</f>
        <v>39</v>
      </c>
      <c r="E95" s="41">
        <f t="shared" si="17"/>
        <v>39</v>
      </c>
      <c r="F95" s="41">
        <f t="shared" ref="F95:O95" si="40">IF(E95="","",E95)</f>
        <v>39</v>
      </c>
      <c r="G95" s="42">
        <f t="shared" si="40"/>
        <v>39</v>
      </c>
      <c r="H95" s="31">
        <f t="shared" si="40"/>
        <v>39</v>
      </c>
      <c r="I95" s="41">
        <f t="shared" si="40"/>
        <v>39</v>
      </c>
      <c r="J95" s="41">
        <f t="shared" si="40"/>
        <v>39</v>
      </c>
      <c r="K95" s="42">
        <f t="shared" si="40"/>
        <v>39</v>
      </c>
      <c r="L95" s="43">
        <f t="shared" si="40"/>
        <v>39</v>
      </c>
      <c r="M95" s="44">
        <f t="shared" si="40"/>
        <v>39</v>
      </c>
      <c r="N95" s="44">
        <f t="shared" si="40"/>
        <v>39</v>
      </c>
      <c r="O95" s="42">
        <f t="shared" si="40"/>
        <v>39</v>
      </c>
      <c r="P95" s="43">
        <f t="shared" ref="F95:S110" si="41">IF(O95="","",O95)</f>
        <v>39</v>
      </c>
      <c r="Q95" s="44">
        <f t="shared" si="41"/>
        <v>39</v>
      </c>
      <c r="R95" s="44">
        <f t="shared" si="41"/>
        <v>39</v>
      </c>
      <c r="S95" s="42">
        <f t="shared" si="41"/>
        <v>39</v>
      </c>
    </row>
    <row r="96" spans="2:19" ht="14" customHeight="1" thickBot="1" x14ac:dyDescent="0.2">
      <c r="B96" s="194"/>
      <c r="C96" s="195"/>
      <c r="D96" s="45">
        <f>IF(Configure!F11="","",Configure!F11)</f>
        <v>29</v>
      </c>
      <c r="E96" s="46">
        <f t="shared" si="17"/>
        <v>29</v>
      </c>
      <c r="F96" s="46">
        <f t="shared" si="41"/>
        <v>29</v>
      </c>
      <c r="G96" s="47">
        <f t="shared" si="41"/>
        <v>29</v>
      </c>
      <c r="H96" s="45">
        <f t="shared" si="41"/>
        <v>29</v>
      </c>
      <c r="I96" s="46">
        <f t="shared" si="41"/>
        <v>29</v>
      </c>
      <c r="J96" s="46">
        <f t="shared" si="41"/>
        <v>29</v>
      </c>
      <c r="K96" s="47">
        <f t="shared" si="41"/>
        <v>29</v>
      </c>
      <c r="L96" s="48">
        <f t="shared" si="41"/>
        <v>29</v>
      </c>
      <c r="M96" s="49">
        <f t="shared" si="41"/>
        <v>29</v>
      </c>
      <c r="N96" s="49">
        <f t="shared" si="41"/>
        <v>29</v>
      </c>
      <c r="O96" s="47">
        <f t="shared" si="41"/>
        <v>29</v>
      </c>
      <c r="P96" s="48">
        <f t="shared" si="41"/>
        <v>29</v>
      </c>
      <c r="Q96" s="49">
        <f t="shared" si="41"/>
        <v>29</v>
      </c>
      <c r="R96" s="49">
        <f t="shared" si="41"/>
        <v>29</v>
      </c>
      <c r="S96" s="47">
        <f t="shared" si="41"/>
        <v>29</v>
      </c>
    </row>
    <row r="97" spans="2:19" ht="14" customHeight="1" x14ac:dyDescent="0.15">
      <c r="B97" s="194" t="s">
        <v>7</v>
      </c>
      <c r="C97" s="195"/>
      <c r="D97" s="152">
        <f>IF(Configure!$H$21=2,Configure!$L11,IF(Configure!$H$21=3,Configure!$N11,IF(Configure!$H$21=4,Configure!$P11)))</f>
        <v>43.524999999999999</v>
      </c>
      <c r="E97" s="153">
        <f t="shared" ref="E97:G98" si="42">D97</f>
        <v>43.524999999999999</v>
      </c>
      <c r="F97" s="153">
        <f t="shared" si="42"/>
        <v>43.524999999999999</v>
      </c>
      <c r="G97" s="154">
        <f t="shared" si="42"/>
        <v>43.524999999999999</v>
      </c>
      <c r="H97" s="152">
        <f>IF(Configure!$J$21=2,Configure!$L11,IF(Configure!$J$21=3,Configure!$N11,IF(Configure!$J$21=4,Configure!$P11)))</f>
        <v>43.524999999999999</v>
      </c>
      <c r="I97" s="153">
        <f t="shared" ref="I97:K98" si="43">H97</f>
        <v>43.524999999999999</v>
      </c>
      <c r="J97" s="153">
        <f t="shared" si="43"/>
        <v>43.524999999999999</v>
      </c>
      <c r="K97" s="154">
        <f t="shared" si="43"/>
        <v>43.524999999999999</v>
      </c>
      <c r="L97" s="152">
        <f>IF(Configure!$L$21=2,Configure!$L11,IF(Configure!$L$21=3,Configure!$N11,IF(Configure!$L$21=4,Configure!$P11)))</f>
        <v>43.524999999999999</v>
      </c>
      <c r="M97" s="156">
        <f t="shared" ref="M97:O98" si="44">L97</f>
        <v>43.524999999999999</v>
      </c>
      <c r="N97" s="156">
        <f t="shared" si="44"/>
        <v>43.524999999999999</v>
      </c>
      <c r="O97" s="154">
        <f t="shared" si="44"/>
        <v>43.524999999999999</v>
      </c>
      <c r="P97" s="152">
        <f>IF(Configure!$N$21=2,Configure!$L11,IF(Configure!$N$21=3,Configure!$N11,IF(Configure!$N$21=4,Configure!$P11)))</f>
        <v>43.524999999999999</v>
      </c>
      <c r="Q97" s="156">
        <f t="shared" ref="Q97:S98" si="45">P97</f>
        <v>43.524999999999999</v>
      </c>
      <c r="R97" s="156">
        <f t="shared" si="45"/>
        <v>43.524999999999999</v>
      </c>
      <c r="S97" s="154">
        <f t="shared" si="45"/>
        <v>43.524999999999999</v>
      </c>
    </row>
    <row r="98" spans="2:19" ht="14" customHeight="1" thickBot="1" x14ac:dyDescent="0.2">
      <c r="B98" s="196"/>
      <c r="C98" s="197"/>
      <c r="D98" s="157">
        <f>IF(Configure!$H$21=2,Configure!$K11,IF(Configure!$H$21=3,Configure!$M11,IF(Configure!$H$21=4,Configure!$O11)))</f>
        <v>24.475000000000001</v>
      </c>
      <c r="E98" s="158">
        <f t="shared" si="42"/>
        <v>24.475000000000001</v>
      </c>
      <c r="F98" s="158">
        <f t="shared" si="42"/>
        <v>24.475000000000001</v>
      </c>
      <c r="G98" s="159">
        <f t="shared" si="42"/>
        <v>24.475000000000001</v>
      </c>
      <c r="H98" s="157">
        <f>IF(Configure!$J$21=2,Configure!$K11,IF(Configure!$J$21=3,Configure!$M11,IF(Configure!$J$21=4,Configure!$O11)))</f>
        <v>24.475000000000001</v>
      </c>
      <c r="I98" s="158">
        <f t="shared" si="43"/>
        <v>24.475000000000001</v>
      </c>
      <c r="J98" s="158">
        <f t="shared" si="43"/>
        <v>24.475000000000001</v>
      </c>
      <c r="K98" s="159">
        <f t="shared" si="43"/>
        <v>24.475000000000001</v>
      </c>
      <c r="L98" s="157">
        <f>IF(Configure!$L$21=2,Configure!$K11,IF(Configure!$L$21=3,Configure!$M11,IF(Configure!$L$21=4,Configure!$O11)))</f>
        <v>24.475000000000001</v>
      </c>
      <c r="M98" s="161">
        <f t="shared" si="44"/>
        <v>24.475000000000001</v>
      </c>
      <c r="N98" s="161">
        <f t="shared" si="44"/>
        <v>24.475000000000001</v>
      </c>
      <c r="O98" s="159">
        <f t="shared" si="44"/>
        <v>24.475000000000001</v>
      </c>
      <c r="P98" s="157">
        <f>IF(Configure!$N$21=2,Configure!$K11,IF(Configure!$N$21=3,Configure!$M11,IF(Configure!$N$21=4,Configure!$O11)))</f>
        <v>24.475000000000001</v>
      </c>
      <c r="Q98" s="161">
        <f t="shared" si="45"/>
        <v>24.475000000000001</v>
      </c>
      <c r="R98" s="161">
        <f t="shared" si="45"/>
        <v>24.475000000000001</v>
      </c>
      <c r="S98" s="159">
        <f t="shared" si="45"/>
        <v>24.475000000000001</v>
      </c>
    </row>
    <row r="99" spans="2:19" ht="14" customHeight="1" x14ac:dyDescent="0.15">
      <c r="B99" s="192" t="s">
        <v>8</v>
      </c>
      <c r="C99" s="193"/>
      <c r="D99" s="31" t="str">
        <f>IF(Configure!G12="","",Configure!G12)</f>
        <v/>
      </c>
      <c r="E99" s="41" t="str">
        <f t="shared" si="17"/>
        <v/>
      </c>
      <c r="F99" s="41" t="str">
        <f t="shared" si="41"/>
        <v/>
      </c>
      <c r="G99" s="42" t="str">
        <f t="shared" si="41"/>
        <v/>
      </c>
      <c r="H99" s="31" t="str">
        <f t="shared" si="41"/>
        <v/>
      </c>
      <c r="I99" s="41" t="str">
        <f t="shared" si="41"/>
        <v/>
      </c>
      <c r="J99" s="41" t="str">
        <f t="shared" si="41"/>
        <v/>
      </c>
      <c r="K99" s="42" t="str">
        <f t="shared" si="41"/>
        <v/>
      </c>
      <c r="L99" s="43" t="str">
        <f t="shared" si="41"/>
        <v/>
      </c>
      <c r="M99" s="44" t="str">
        <f t="shared" si="41"/>
        <v/>
      </c>
      <c r="N99" s="44" t="str">
        <f t="shared" si="41"/>
        <v/>
      </c>
      <c r="O99" s="42" t="str">
        <f t="shared" si="41"/>
        <v/>
      </c>
      <c r="P99" s="43" t="str">
        <f t="shared" si="41"/>
        <v/>
      </c>
      <c r="Q99" s="44" t="str">
        <f t="shared" si="41"/>
        <v/>
      </c>
      <c r="R99" s="44" t="str">
        <f t="shared" si="41"/>
        <v/>
      </c>
      <c r="S99" s="42" t="str">
        <f t="shared" si="41"/>
        <v/>
      </c>
    </row>
    <row r="100" spans="2:19" ht="14" customHeight="1" thickBot="1" x14ac:dyDescent="0.2">
      <c r="B100" s="194"/>
      <c r="C100" s="195"/>
      <c r="D100" s="45" t="str">
        <f>IF(Configure!F12="","",Configure!F12)</f>
        <v/>
      </c>
      <c r="E100" s="46" t="str">
        <f t="shared" si="17"/>
        <v/>
      </c>
      <c r="F100" s="46" t="str">
        <f t="shared" si="41"/>
        <v/>
      </c>
      <c r="G100" s="47" t="str">
        <f t="shared" si="41"/>
        <v/>
      </c>
      <c r="H100" s="45" t="str">
        <f t="shared" si="41"/>
        <v/>
      </c>
      <c r="I100" s="46" t="str">
        <f t="shared" si="41"/>
        <v/>
      </c>
      <c r="J100" s="46" t="str">
        <f t="shared" si="41"/>
        <v/>
      </c>
      <c r="K100" s="47" t="str">
        <f t="shared" si="41"/>
        <v/>
      </c>
      <c r="L100" s="48" t="str">
        <f t="shared" si="41"/>
        <v/>
      </c>
      <c r="M100" s="49" t="str">
        <f t="shared" si="41"/>
        <v/>
      </c>
      <c r="N100" s="49" t="str">
        <f t="shared" si="41"/>
        <v/>
      </c>
      <c r="O100" s="47" t="str">
        <f t="shared" si="41"/>
        <v/>
      </c>
      <c r="P100" s="48" t="str">
        <f t="shared" si="41"/>
        <v/>
      </c>
      <c r="Q100" s="49" t="str">
        <f t="shared" si="41"/>
        <v/>
      </c>
      <c r="R100" s="49" t="str">
        <f t="shared" si="41"/>
        <v/>
      </c>
      <c r="S100" s="47" t="str">
        <f t="shared" si="41"/>
        <v/>
      </c>
    </row>
    <row r="101" spans="2:19" ht="14" customHeight="1" x14ac:dyDescent="0.15">
      <c r="B101" s="194" t="s">
        <v>8</v>
      </c>
      <c r="C101" s="195"/>
      <c r="D101" s="31" t="str">
        <f>IF(Configure!L12="","",Configure!L12)</f>
        <v/>
      </c>
      <c r="E101" s="41" t="str">
        <f t="shared" si="17"/>
        <v/>
      </c>
      <c r="F101" s="41" t="str">
        <f t="shared" si="41"/>
        <v/>
      </c>
      <c r="G101" s="42" t="str">
        <f t="shared" si="41"/>
        <v/>
      </c>
      <c r="H101" s="31" t="str">
        <f t="shared" si="41"/>
        <v/>
      </c>
      <c r="I101" s="41" t="str">
        <f t="shared" si="41"/>
        <v/>
      </c>
      <c r="J101" s="41" t="str">
        <f t="shared" si="41"/>
        <v/>
      </c>
      <c r="K101" s="42" t="str">
        <f t="shared" si="41"/>
        <v/>
      </c>
      <c r="L101" s="43" t="str">
        <f t="shared" si="41"/>
        <v/>
      </c>
      <c r="M101" s="44" t="str">
        <f t="shared" si="41"/>
        <v/>
      </c>
      <c r="N101" s="44" t="str">
        <f t="shared" si="41"/>
        <v/>
      </c>
      <c r="O101" s="42" t="str">
        <f t="shared" si="41"/>
        <v/>
      </c>
      <c r="P101" s="43" t="str">
        <f t="shared" si="41"/>
        <v/>
      </c>
      <c r="Q101" s="44" t="str">
        <f t="shared" si="41"/>
        <v/>
      </c>
      <c r="R101" s="44" t="str">
        <f t="shared" si="41"/>
        <v/>
      </c>
      <c r="S101" s="42" t="str">
        <f t="shared" si="41"/>
        <v/>
      </c>
    </row>
    <row r="102" spans="2:19" ht="14" customHeight="1" thickBot="1" x14ac:dyDescent="0.2">
      <c r="B102" s="196"/>
      <c r="C102" s="197"/>
      <c r="D102" s="50" t="str">
        <f>IF(Configure!K12="","",Configure!K12)</f>
        <v/>
      </c>
      <c r="E102" s="51" t="str">
        <f t="shared" si="17"/>
        <v/>
      </c>
      <c r="F102" s="51" t="str">
        <f t="shared" si="41"/>
        <v/>
      </c>
      <c r="G102" s="10" t="str">
        <f t="shared" si="41"/>
        <v/>
      </c>
      <c r="H102" s="50" t="str">
        <f t="shared" si="41"/>
        <v/>
      </c>
      <c r="I102" s="51" t="str">
        <f t="shared" si="41"/>
        <v/>
      </c>
      <c r="J102" s="51" t="str">
        <f t="shared" si="41"/>
        <v/>
      </c>
      <c r="K102" s="10" t="str">
        <f t="shared" si="41"/>
        <v/>
      </c>
      <c r="L102" s="52" t="str">
        <f t="shared" si="41"/>
        <v/>
      </c>
      <c r="M102" s="53" t="str">
        <f t="shared" si="41"/>
        <v/>
      </c>
      <c r="N102" s="53" t="str">
        <f t="shared" si="41"/>
        <v/>
      </c>
      <c r="O102" s="10" t="str">
        <f t="shared" si="41"/>
        <v/>
      </c>
      <c r="P102" s="52" t="str">
        <f t="shared" si="41"/>
        <v/>
      </c>
      <c r="Q102" s="53" t="str">
        <f t="shared" si="41"/>
        <v/>
      </c>
      <c r="R102" s="53" t="str">
        <f t="shared" si="41"/>
        <v/>
      </c>
      <c r="S102" s="10" t="str">
        <f t="shared" si="41"/>
        <v/>
      </c>
    </row>
    <row r="103" spans="2:19" ht="14" customHeight="1" x14ac:dyDescent="0.15">
      <c r="B103" s="192" t="s">
        <v>9</v>
      </c>
      <c r="C103" s="193"/>
      <c r="D103" s="31">
        <f>IF(Configure!G13="","",Configure!G13)</f>
        <v>22</v>
      </c>
      <c r="E103" s="41">
        <f t="shared" si="17"/>
        <v>22</v>
      </c>
      <c r="F103" s="41">
        <f t="shared" si="41"/>
        <v>22</v>
      </c>
      <c r="G103" s="42">
        <f t="shared" si="41"/>
        <v>22</v>
      </c>
      <c r="H103" s="31">
        <f t="shared" si="41"/>
        <v>22</v>
      </c>
      <c r="I103" s="41">
        <f t="shared" si="41"/>
        <v>22</v>
      </c>
      <c r="J103" s="41">
        <f t="shared" si="41"/>
        <v>22</v>
      </c>
      <c r="K103" s="42">
        <f t="shared" si="41"/>
        <v>22</v>
      </c>
      <c r="L103" s="43">
        <f t="shared" si="41"/>
        <v>22</v>
      </c>
      <c r="M103" s="44">
        <f t="shared" si="41"/>
        <v>22</v>
      </c>
      <c r="N103" s="44">
        <f t="shared" si="41"/>
        <v>22</v>
      </c>
      <c r="O103" s="42">
        <f t="shared" si="41"/>
        <v>22</v>
      </c>
      <c r="P103" s="43">
        <f t="shared" si="41"/>
        <v>22</v>
      </c>
      <c r="Q103" s="44">
        <f t="shared" si="41"/>
        <v>22</v>
      </c>
      <c r="R103" s="44">
        <f t="shared" si="41"/>
        <v>22</v>
      </c>
      <c r="S103" s="42">
        <f t="shared" si="41"/>
        <v>22</v>
      </c>
    </row>
    <row r="104" spans="2:19" ht="14" customHeight="1" thickBot="1" x14ac:dyDescent="0.2">
      <c r="B104" s="194"/>
      <c r="C104" s="195"/>
      <c r="D104" s="45">
        <f>IF(Configure!F13="","",Configure!F13)</f>
        <v>16</v>
      </c>
      <c r="E104" s="46">
        <f t="shared" si="17"/>
        <v>16</v>
      </c>
      <c r="F104" s="46">
        <f t="shared" si="41"/>
        <v>16</v>
      </c>
      <c r="G104" s="47">
        <f t="shared" si="41"/>
        <v>16</v>
      </c>
      <c r="H104" s="45">
        <f t="shared" si="41"/>
        <v>16</v>
      </c>
      <c r="I104" s="46">
        <f t="shared" si="41"/>
        <v>16</v>
      </c>
      <c r="J104" s="46">
        <f t="shared" si="41"/>
        <v>16</v>
      </c>
      <c r="K104" s="47">
        <f t="shared" si="41"/>
        <v>16</v>
      </c>
      <c r="L104" s="48">
        <f t="shared" si="41"/>
        <v>16</v>
      </c>
      <c r="M104" s="49">
        <f t="shared" si="41"/>
        <v>16</v>
      </c>
      <c r="N104" s="49">
        <f t="shared" si="41"/>
        <v>16</v>
      </c>
      <c r="O104" s="47">
        <f t="shared" si="41"/>
        <v>16</v>
      </c>
      <c r="P104" s="48">
        <f t="shared" si="41"/>
        <v>16</v>
      </c>
      <c r="Q104" s="49">
        <f t="shared" si="41"/>
        <v>16</v>
      </c>
      <c r="R104" s="49">
        <f t="shared" si="41"/>
        <v>16</v>
      </c>
      <c r="S104" s="47">
        <f t="shared" si="41"/>
        <v>16</v>
      </c>
    </row>
    <row r="105" spans="2:19" ht="14" customHeight="1" x14ac:dyDescent="0.15">
      <c r="B105" s="194" t="s">
        <v>9</v>
      </c>
      <c r="C105" s="195"/>
      <c r="D105" s="152">
        <f>IF(Configure!$H$21=2,Configure!$L13,IF(Configure!$H$21=3,Configure!$N13,IF(Configure!$H$21=4,Configure!$P13)))</f>
        <v>24.715</v>
      </c>
      <c r="E105" s="153">
        <f t="shared" ref="E105:G106" si="46">D105</f>
        <v>24.715</v>
      </c>
      <c r="F105" s="153">
        <f t="shared" si="46"/>
        <v>24.715</v>
      </c>
      <c r="G105" s="154">
        <f t="shared" si="46"/>
        <v>24.715</v>
      </c>
      <c r="H105" s="152">
        <f>IF(Configure!$J$21=2,Configure!$L13,IF(Configure!$J$21=3,Configure!$N13,IF(Configure!$J$21=4,Configure!$P13)))</f>
        <v>24.715</v>
      </c>
      <c r="I105" s="153">
        <f t="shared" ref="I105:K106" si="47">H105</f>
        <v>24.715</v>
      </c>
      <c r="J105" s="153">
        <f t="shared" si="47"/>
        <v>24.715</v>
      </c>
      <c r="K105" s="154">
        <f t="shared" si="47"/>
        <v>24.715</v>
      </c>
      <c r="L105" s="152">
        <f>IF(Configure!$L$21=2,Configure!$L13,IF(Configure!$L$21=3,Configure!$N13,IF(Configure!$L$21=4,Configure!$P13)))</f>
        <v>24.715</v>
      </c>
      <c r="M105" s="156">
        <f t="shared" ref="M105:O106" si="48">L105</f>
        <v>24.715</v>
      </c>
      <c r="N105" s="156">
        <f t="shared" si="48"/>
        <v>24.715</v>
      </c>
      <c r="O105" s="154">
        <f t="shared" si="48"/>
        <v>24.715</v>
      </c>
      <c r="P105" s="152">
        <f>IF(Configure!$N$21=2,Configure!$L13,IF(Configure!$N$21=3,Configure!$N13,IF(Configure!$N$21=4,Configure!$P13)))</f>
        <v>24.715</v>
      </c>
      <c r="Q105" s="156">
        <f t="shared" ref="Q105:S106" si="49">P105</f>
        <v>24.715</v>
      </c>
      <c r="R105" s="156">
        <f t="shared" si="49"/>
        <v>24.715</v>
      </c>
      <c r="S105" s="154">
        <f t="shared" si="49"/>
        <v>24.715</v>
      </c>
    </row>
    <row r="106" spans="2:19" ht="14" customHeight="1" thickBot="1" x14ac:dyDescent="0.2">
      <c r="B106" s="196"/>
      <c r="C106" s="197"/>
      <c r="D106" s="157">
        <f>IF(Configure!$H$21=2,Configure!$K13,IF(Configure!$H$21=3,Configure!$M13,IF(Configure!$H$21=4,Configure!$O13)))</f>
        <v>13.285</v>
      </c>
      <c r="E106" s="158">
        <f t="shared" si="46"/>
        <v>13.285</v>
      </c>
      <c r="F106" s="158">
        <f t="shared" si="46"/>
        <v>13.285</v>
      </c>
      <c r="G106" s="159">
        <f t="shared" si="46"/>
        <v>13.285</v>
      </c>
      <c r="H106" s="157">
        <f>IF(Configure!$J$21=2,Configure!$K13,IF(Configure!$J$21=3,Configure!$M13,IF(Configure!$J$21=4,Configure!$O13)))</f>
        <v>13.285</v>
      </c>
      <c r="I106" s="158">
        <f t="shared" si="47"/>
        <v>13.285</v>
      </c>
      <c r="J106" s="158">
        <f t="shared" si="47"/>
        <v>13.285</v>
      </c>
      <c r="K106" s="159">
        <f t="shared" si="47"/>
        <v>13.285</v>
      </c>
      <c r="L106" s="157">
        <f>IF(Configure!$L$21=2,Configure!$K13,IF(Configure!$L$21=3,Configure!$M13,IF(Configure!$L$21=4,Configure!$O13)))</f>
        <v>13.285</v>
      </c>
      <c r="M106" s="161">
        <f t="shared" si="48"/>
        <v>13.285</v>
      </c>
      <c r="N106" s="161">
        <f t="shared" si="48"/>
        <v>13.285</v>
      </c>
      <c r="O106" s="159">
        <f t="shared" si="48"/>
        <v>13.285</v>
      </c>
      <c r="P106" s="157">
        <f>IF(Configure!$N$21=2,Configure!$K13,IF(Configure!$N$21=3,Configure!$M13,IF(Configure!$N$21=4,Configure!$O13)))</f>
        <v>13.285</v>
      </c>
      <c r="Q106" s="161">
        <f t="shared" si="49"/>
        <v>13.285</v>
      </c>
      <c r="R106" s="161">
        <f t="shared" si="49"/>
        <v>13.285</v>
      </c>
      <c r="S106" s="159">
        <f t="shared" si="49"/>
        <v>13.285</v>
      </c>
    </row>
    <row r="107" spans="2:19" ht="14" customHeight="1" x14ac:dyDescent="0.15">
      <c r="B107" s="192" t="s">
        <v>10</v>
      </c>
      <c r="C107" s="193"/>
      <c r="D107" s="31" t="str">
        <f>IF(Configure!G14="","",Configure!G14)</f>
        <v/>
      </c>
      <c r="E107" s="41" t="str">
        <f t="shared" si="17"/>
        <v/>
      </c>
      <c r="F107" s="41" t="str">
        <f t="shared" si="41"/>
        <v/>
      </c>
      <c r="G107" s="42" t="str">
        <f t="shared" si="41"/>
        <v/>
      </c>
      <c r="H107" s="31" t="str">
        <f t="shared" si="41"/>
        <v/>
      </c>
      <c r="I107" s="41" t="str">
        <f t="shared" si="41"/>
        <v/>
      </c>
      <c r="J107" s="41" t="str">
        <f t="shared" si="41"/>
        <v/>
      </c>
      <c r="K107" s="42" t="str">
        <f t="shared" si="41"/>
        <v/>
      </c>
      <c r="L107" s="43" t="str">
        <f t="shared" si="41"/>
        <v/>
      </c>
      <c r="M107" s="44" t="str">
        <f t="shared" si="41"/>
        <v/>
      </c>
      <c r="N107" s="44" t="str">
        <f t="shared" si="41"/>
        <v/>
      </c>
      <c r="O107" s="42" t="str">
        <f t="shared" si="41"/>
        <v/>
      </c>
      <c r="P107" s="43" t="str">
        <f t="shared" si="41"/>
        <v/>
      </c>
      <c r="Q107" s="44" t="str">
        <f t="shared" si="41"/>
        <v/>
      </c>
      <c r="R107" s="44" t="str">
        <f t="shared" si="41"/>
        <v/>
      </c>
      <c r="S107" s="42" t="str">
        <f t="shared" si="41"/>
        <v/>
      </c>
    </row>
    <row r="108" spans="2:19" ht="14" customHeight="1" thickBot="1" x14ac:dyDescent="0.2">
      <c r="B108" s="194"/>
      <c r="C108" s="195"/>
      <c r="D108" s="45" t="str">
        <f>IF(Configure!F14="","",Configure!F14)</f>
        <v/>
      </c>
      <c r="E108" s="46" t="str">
        <f t="shared" si="17"/>
        <v/>
      </c>
      <c r="F108" s="46" t="str">
        <f t="shared" si="41"/>
        <v/>
      </c>
      <c r="G108" s="47" t="str">
        <f t="shared" si="41"/>
        <v/>
      </c>
      <c r="H108" s="45" t="str">
        <f t="shared" si="41"/>
        <v/>
      </c>
      <c r="I108" s="46" t="str">
        <f t="shared" si="41"/>
        <v/>
      </c>
      <c r="J108" s="46" t="str">
        <f t="shared" si="41"/>
        <v/>
      </c>
      <c r="K108" s="47" t="str">
        <f t="shared" si="41"/>
        <v/>
      </c>
      <c r="L108" s="48" t="str">
        <f t="shared" si="41"/>
        <v/>
      </c>
      <c r="M108" s="49" t="str">
        <f t="shared" si="41"/>
        <v/>
      </c>
      <c r="N108" s="49" t="str">
        <f t="shared" si="41"/>
        <v/>
      </c>
      <c r="O108" s="47" t="str">
        <f t="shared" si="41"/>
        <v/>
      </c>
      <c r="P108" s="48" t="str">
        <f t="shared" si="41"/>
        <v/>
      </c>
      <c r="Q108" s="49" t="str">
        <f t="shared" si="41"/>
        <v/>
      </c>
      <c r="R108" s="49" t="str">
        <f t="shared" si="41"/>
        <v/>
      </c>
      <c r="S108" s="47" t="str">
        <f t="shared" si="41"/>
        <v/>
      </c>
    </row>
    <row r="109" spans="2:19" ht="14" customHeight="1" x14ac:dyDescent="0.15">
      <c r="B109" s="194" t="s">
        <v>10</v>
      </c>
      <c r="C109" s="195"/>
      <c r="D109" s="31" t="str">
        <f>IF(Configure!L14="","",Configure!L14)</f>
        <v/>
      </c>
      <c r="E109" s="41" t="str">
        <f t="shared" si="17"/>
        <v/>
      </c>
      <c r="F109" s="41" t="str">
        <f t="shared" si="41"/>
        <v/>
      </c>
      <c r="G109" s="42" t="str">
        <f t="shared" si="41"/>
        <v/>
      </c>
      <c r="H109" s="31" t="str">
        <f t="shared" si="41"/>
        <v/>
      </c>
      <c r="I109" s="41" t="str">
        <f t="shared" si="41"/>
        <v/>
      </c>
      <c r="J109" s="41" t="str">
        <f t="shared" si="41"/>
        <v/>
      </c>
      <c r="K109" s="42" t="str">
        <f t="shared" si="41"/>
        <v/>
      </c>
      <c r="L109" s="43" t="str">
        <f t="shared" si="41"/>
        <v/>
      </c>
      <c r="M109" s="44" t="str">
        <f t="shared" si="41"/>
        <v/>
      </c>
      <c r="N109" s="44" t="str">
        <f t="shared" si="41"/>
        <v/>
      </c>
      <c r="O109" s="42" t="str">
        <f t="shared" si="41"/>
        <v/>
      </c>
      <c r="P109" s="43" t="str">
        <f t="shared" si="41"/>
        <v/>
      </c>
      <c r="Q109" s="44" t="str">
        <f t="shared" si="41"/>
        <v/>
      </c>
      <c r="R109" s="44" t="str">
        <f t="shared" si="41"/>
        <v/>
      </c>
      <c r="S109" s="42" t="str">
        <f t="shared" si="41"/>
        <v/>
      </c>
    </row>
    <row r="110" spans="2:19" ht="14" customHeight="1" thickBot="1" x14ac:dyDescent="0.2">
      <c r="B110" s="196"/>
      <c r="C110" s="197"/>
      <c r="D110" s="50" t="str">
        <f>IF(Configure!K14="","",Configure!K14)</f>
        <v/>
      </c>
      <c r="E110" s="51" t="str">
        <f t="shared" si="17"/>
        <v/>
      </c>
      <c r="F110" s="51" t="str">
        <f t="shared" si="41"/>
        <v/>
      </c>
      <c r="G110" s="10" t="str">
        <f t="shared" si="41"/>
        <v/>
      </c>
      <c r="H110" s="50" t="str">
        <f t="shared" si="41"/>
        <v/>
      </c>
      <c r="I110" s="51" t="str">
        <f t="shared" si="41"/>
        <v/>
      </c>
      <c r="J110" s="51" t="str">
        <f t="shared" si="41"/>
        <v/>
      </c>
      <c r="K110" s="10" t="str">
        <f t="shared" si="41"/>
        <v/>
      </c>
      <c r="L110" s="52" t="str">
        <f t="shared" si="41"/>
        <v/>
      </c>
      <c r="M110" s="53" t="str">
        <f t="shared" si="41"/>
        <v/>
      </c>
      <c r="N110" s="53" t="str">
        <f t="shared" si="41"/>
        <v/>
      </c>
      <c r="O110" s="10" t="str">
        <f t="shared" si="41"/>
        <v/>
      </c>
      <c r="P110" s="52" t="str">
        <f t="shared" si="41"/>
        <v/>
      </c>
      <c r="Q110" s="53" t="str">
        <f t="shared" si="41"/>
        <v/>
      </c>
      <c r="R110" s="53" t="str">
        <f t="shared" si="41"/>
        <v/>
      </c>
      <c r="S110" s="10" t="str">
        <f t="shared" si="41"/>
        <v/>
      </c>
    </row>
    <row r="111" spans="2:19" ht="14" customHeight="1" x14ac:dyDescent="0.15">
      <c r="B111" s="192" t="s">
        <v>11</v>
      </c>
      <c r="C111" s="193"/>
      <c r="D111" s="31">
        <f>IF(Configure!G15="","",Configure!G15)</f>
        <v>5.0999999999999996</v>
      </c>
      <c r="E111" s="41">
        <f t="shared" si="17"/>
        <v>5.0999999999999996</v>
      </c>
      <c r="F111" s="41">
        <f t="shared" ref="F111:S112" si="50">IF(E111="","",E111)</f>
        <v>5.0999999999999996</v>
      </c>
      <c r="G111" s="42">
        <f t="shared" si="50"/>
        <v>5.0999999999999996</v>
      </c>
      <c r="H111" s="31">
        <f t="shared" si="50"/>
        <v>5.0999999999999996</v>
      </c>
      <c r="I111" s="41">
        <f t="shared" si="50"/>
        <v>5.0999999999999996</v>
      </c>
      <c r="J111" s="41">
        <f t="shared" si="50"/>
        <v>5.0999999999999996</v>
      </c>
      <c r="K111" s="42">
        <f t="shared" si="50"/>
        <v>5.0999999999999996</v>
      </c>
      <c r="L111" s="43">
        <f t="shared" si="50"/>
        <v>5.0999999999999996</v>
      </c>
      <c r="M111" s="44">
        <f t="shared" si="50"/>
        <v>5.0999999999999996</v>
      </c>
      <c r="N111" s="44">
        <f t="shared" si="50"/>
        <v>5.0999999999999996</v>
      </c>
      <c r="O111" s="42">
        <f t="shared" si="50"/>
        <v>5.0999999999999996</v>
      </c>
      <c r="P111" s="43">
        <f t="shared" si="50"/>
        <v>5.0999999999999996</v>
      </c>
      <c r="Q111" s="44">
        <f t="shared" si="50"/>
        <v>5.0999999999999996</v>
      </c>
      <c r="R111" s="44">
        <f t="shared" si="50"/>
        <v>5.0999999999999996</v>
      </c>
      <c r="S111" s="42">
        <f t="shared" si="50"/>
        <v>5.0999999999999996</v>
      </c>
    </row>
    <row r="112" spans="2:19" ht="14" customHeight="1" thickBot="1" x14ac:dyDescent="0.2">
      <c r="B112" s="194" t="s">
        <v>11</v>
      </c>
      <c r="C112" s="195"/>
      <c r="D112" s="45">
        <f>IF(Configure!F15="","",Configure!F15)</f>
        <v>1.1000000000000001</v>
      </c>
      <c r="E112" s="46">
        <f t="shared" si="17"/>
        <v>1.1000000000000001</v>
      </c>
      <c r="F112" s="46">
        <f t="shared" si="50"/>
        <v>1.1000000000000001</v>
      </c>
      <c r="G112" s="47">
        <f t="shared" si="50"/>
        <v>1.1000000000000001</v>
      </c>
      <c r="H112" s="45">
        <f t="shared" si="50"/>
        <v>1.1000000000000001</v>
      </c>
      <c r="I112" s="46">
        <f t="shared" si="50"/>
        <v>1.1000000000000001</v>
      </c>
      <c r="J112" s="46">
        <f t="shared" si="50"/>
        <v>1.1000000000000001</v>
      </c>
      <c r="K112" s="47">
        <f t="shared" si="50"/>
        <v>1.1000000000000001</v>
      </c>
      <c r="L112" s="48">
        <f t="shared" si="50"/>
        <v>1.1000000000000001</v>
      </c>
      <c r="M112" s="49">
        <f t="shared" si="50"/>
        <v>1.1000000000000001</v>
      </c>
      <c r="N112" s="49">
        <f t="shared" si="50"/>
        <v>1.1000000000000001</v>
      </c>
      <c r="O112" s="47">
        <f t="shared" si="50"/>
        <v>1.1000000000000001</v>
      </c>
      <c r="P112" s="48">
        <f t="shared" si="50"/>
        <v>1.1000000000000001</v>
      </c>
      <c r="Q112" s="49">
        <f t="shared" si="50"/>
        <v>1.1000000000000001</v>
      </c>
      <c r="R112" s="49">
        <f t="shared" si="50"/>
        <v>1.1000000000000001</v>
      </c>
      <c r="S112" s="47">
        <f t="shared" si="50"/>
        <v>1.1000000000000001</v>
      </c>
    </row>
    <row r="113" spans="2:19" ht="14" customHeight="1" x14ac:dyDescent="0.15">
      <c r="B113" s="194"/>
      <c r="C113" s="195"/>
      <c r="D113" s="152">
        <f>IF(Configure!$H$21=2,Configure!$L15,IF(Configure!$H$21=3,Configure!$N15,IF(Configure!$H$21=4,Configure!$P15)))</f>
        <v>6.91</v>
      </c>
      <c r="E113" s="153">
        <f t="shared" ref="E113:G114" si="51">D113</f>
        <v>6.91</v>
      </c>
      <c r="F113" s="153">
        <f t="shared" si="51"/>
        <v>6.91</v>
      </c>
      <c r="G113" s="154">
        <f t="shared" si="51"/>
        <v>6.91</v>
      </c>
      <c r="H113" s="152">
        <f>IF(Configure!$J$21=2,Configure!$L15,IF(Configure!$J$21=3,Configure!$N15,IF(Configure!$J$21=4,Configure!$P15)))</f>
        <v>6.91</v>
      </c>
      <c r="I113" s="153">
        <f t="shared" ref="I113:K114" si="52">H113</f>
        <v>6.91</v>
      </c>
      <c r="J113" s="153">
        <f t="shared" si="52"/>
        <v>6.91</v>
      </c>
      <c r="K113" s="154">
        <f t="shared" si="52"/>
        <v>6.91</v>
      </c>
      <c r="L113" s="152">
        <f>IF(Configure!$L$21=2,Configure!$L15,IF(Configure!$L$21=3,Configure!$N15,IF(Configure!$L$21=4,Configure!$P15)))</f>
        <v>6.91</v>
      </c>
      <c r="M113" s="156">
        <f t="shared" ref="M113:O114" si="53">L113</f>
        <v>6.91</v>
      </c>
      <c r="N113" s="156">
        <f t="shared" si="53"/>
        <v>6.91</v>
      </c>
      <c r="O113" s="154">
        <f t="shared" si="53"/>
        <v>6.91</v>
      </c>
      <c r="P113" s="152">
        <f>IF(Configure!$N$21=2,Configure!$L15,IF(Configure!$N$21=3,Configure!$N15,IF(Configure!$N$21=4,Configure!$P15)))</f>
        <v>6.91</v>
      </c>
      <c r="Q113" s="156">
        <f t="shared" ref="Q113:S114" si="54">P113</f>
        <v>6.91</v>
      </c>
      <c r="R113" s="156">
        <f t="shared" si="54"/>
        <v>6.91</v>
      </c>
      <c r="S113" s="154">
        <f t="shared" si="54"/>
        <v>6.91</v>
      </c>
    </row>
    <row r="114" spans="2:19" ht="14" customHeight="1" thickBot="1" x14ac:dyDescent="0.2">
      <c r="B114" s="196" t="s">
        <v>11</v>
      </c>
      <c r="C114" s="197"/>
      <c r="D114" s="157">
        <f>IF(Configure!$H$21=2,Configure!$K15,IF(Configure!$H$21=3,Configure!$M15,IF(Configure!$H$21=4,Configure!$O15)))</f>
        <v>-0.71</v>
      </c>
      <c r="E114" s="158">
        <f t="shared" si="51"/>
        <v>-0.71</v>
      </c>
      <c r="F114" s="158">
        <f t="shared" si="51"/>
        <v>-0.71</v>
      </c>
      <c r="G114" s="159">
        <f t="shared" si="51"/>
        <v>-0.71</v>
      </c>
      <c r="H114" s="157">
        <f>IF(Configure!$J$21=2,Configure!$K15,IF(Configure!$J$21=3,Configure!$M15,IF(Configure!$J$21=4,Configure!$O15)))</f>
        <v>-0.71</v>
      </c>
      <c r="I114" s="158">
        <f t="shared" si="52"/>
        <v>-0.71</v>
      </c>
      <c r="J114" s="158">
        <f t="shared" si="52"/>
        <v>-0.71</v>
      </c>
      <c r="K114" s="159">
        <f t="shared" si="52"/>
        <v>-0.71</v>
      </c>
      <c r="L114" s="157">
        <f>IF(Configure!$L$21=2,Configure!$K15,IF(Configure!$L$21=3,Configure!$M15,IF(Configure!$L$21=4,Configure!$O15)))</f>
        <v>-0.71</v>
      </c>
      <c r="M114" s="161">
        <f t="shared" si="53"/>
        <v>-0.71</v>
      </c>
      <c r="N114" s="161">
        <f t="shared" si="53"/>
        <v>-0.71</v>
      </c>
      <c r="O114" s="159">
        <f t="shared" si="53"/>
        <v>-0.71</v>
      </c>
      <c r="P114" s="157">
        <f>IF(Configure!$N$21=2,Configure!$K15,IF(Configure!$N$21=3,Configure!$M15,IF(Configure!$N$21=4,Configure!$O15)))</f>
        <v>-0.71</v>
      </c>
      <c r="Q114" s="161">
        <f t="shared" si="54"/>
        <v>-0.71</v>
      </c>
      <c r="R114" s="161">
        <f t="shared" si="54"/>
        <v>-0.71</v>
      </c>
      <c r="S114" s="159">
        <f t="shared" si="54"/>
        <v>-0.71</v>
      </c>
    </row>
    <row r="115" spans="2:19" ht="14" customHeight="1" thickBot="1" x14ac:dyDescent="0.2">
      <c r="B115" s="120"/>
      <c r="C115" s="66"/>
      <c r="D115" s="67"/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/>
      <c r="P115" s="58"/>
      <c r="Q115" s="58"/>
      <c r="R115" s="58"/>
      <c r="S115" s="58"/>
    </row>
    <row r="116" spans="2:19" ht="14" customHeight="1" thickBot="1" x14ac:dyDescent="0.2">
      <c r="B116" s="183" t="s">
        <v>50</v>
      </c>
      <c r="C116" s="184"/>
      <c r="D116" s="184"/>
      <c r="E116" s="184"/>
      <c r="F116" s="184"/>
      <c r="G116" s="184"/>
      <c r="H116" s="184"/>
      <c r="I116" s="184"/>
      <c r="J116" s="184"/>
      <c r="K116" s="184"/>
      <c r="L116" s="184"/>
      <c r="M116" s="184"/>
      <c r="N116" s="184"/>
      <c r="O116" s="184"/>
      <c r="P116" s="184"/>
      <c r="Q116" s="184"/>
      <c r="R116" s="184"/>
      <c r="S116" s="185"/>
    </row>
    <row r="117" spans="2:19" ht="14" customHeight="1" x14ac:dyDescent="0.15">
      <c r="B117" s="192" t="s">
        <v>51</v>
      </c>
      <c r="C117" s="193"/>
      <c r="D117" s="31"/>
      <c r="E117" s="41"/>
      <c r="F117" s="41"/>
      <c r="G117" s="42"/>
      <c r="H117" s="31"/>
      <c r="I117" s="41"/>
      <c r="J117" s="41"/>
      <c r="K117" s="42"/>
      <c r="L117" s="43"/>
      <c r="M117" s="44"/>
      <c r="N117" s="44"/>
      <c r="O117" s="42"/>
      <c r="P117" s="43"/>
      <c r="Q117" s="44"/>
      <c r="R117" s="44"/>
      <c r="S117" s="42"/>
    </row>
    <row r="118" spans="2:19" ht="14" customHeight="1" thickBot="1" x14ac:dyDescent="0.2">
      <c r="B118" s="194"/>
      <c r="C118" s="195"/>
      <c r="D118" s="45">
        <f>IF(Configure!$K$18="","",Configure!$K$18)</f>
        <v>13.5</v>
      </c>
      <c r="E118" s="46">
        <f t="shared" ref="E118:S118" si="55">IF(D118="","",D118)</f>
        <v>13.5</v>
      </c>
      <c r="F118" s="46">
        <f t="shared" si="55"/>
        <v>13.5</v>
      </c>
      <c r="G118" s="47">
        <f t="shared" si="55"/>
        <v>13.5</v>
      </c>
      <c r="H118" s="45">
        <f>IF(Configure!$K$18="","",Configure!$K$18)</f>
        <v>13.5</v>
      </c>
      <c r="I118" s="46">
        <f t="shared" si="55"/>
        <v>13.5</v>
      </c>
      <c r="J118" s="46">
        <f t="shared" si="55"/>
        <v>13.5</v>
      </c>
      <c r="K118" s="47">
        <f t="shared" si="55"/>
        <v>13.5</v>
      </c>
      <c r="L118" s="45">
        <f>IF(Configure!$K$18="","",Configure!$K$18)</f>
        <v>13.5</v>
      </c>
      <c r="M118" s="49">
        <f t="shared" si="55"/>
        <v>13.5</v>
      </c>
      <c r="N118" s="49">
        <f t="shared" si="55"/>
        <v>13.5</v>
      </c>
      <c r="O118" s="47">
        <f t="shared" si="55"/>
        <v>13.5</v>
      </c>
      <c r="P118" s="45">
        <f>IF(Configure!$K$18="","",Configure!$K$18)</f>
        <v>13.5</v>
      </c>
      <c r="Q118" s="49">
        <f t="shared" si="55"/>
        <v>13.5</v>
      </c>
      <c r="R118" s="49">
        <f t="shared" si="55"/>
        <v>13.5</v>
      </c>
      <c r="S118" s="47">
        <f t="shared" si="55"/>
        <v>13.5</v>
      </c>
    </row>
    <row r="119" spans="2:19" ht="14" customHeight="1" x14ac:dyDescent="0.15">
      <c r="B119" s="194"/>
      <c r="C119" s="195"/>
      <c r="D119" s="31"/>
      <c r="E119" s="41"/>
      <c r="F119" s="41"/>
      <c r="G119" s="42"/>
      <c r="H119" s="31"/>
      <c r="I119" s="41"/>
      <c r="J119" s="41"/>
      <c r="K119" s="42"/>
      <c r="L119" s="43"/>
      <c r="M119" s="44"/>
      <c r="N119" s="44"/>
      <c r="O119" s="42"/>
      <c r="P119" s="43"/>
      <c r="Q119" s="44"/>
      <c r="R119" s="44"/>
      <c r="S119" s="42"/>
    </row>
    <row r="120" spans="2:19" ht="14" customHeight="1" thickBot="1" x14ac:dyDescent="0.2">
      <c r="B120" s="196"/>
      <c r="C120" s="197"/>
      <c r="D120" s="157">
        <f>IF(Configure!$H21=2,Configure!$D18-Configure!$H18,IF(Configure!$H21=3,Configure!$D18-Configure!$I18,IF(Configure!$H21=4,Configure!$D18-Configure!$J18)))</f>
        <v>13.23</v>
      </c>
      <c r="E120" s="158">
        <f t="shared" ref="E120:S120" si="56">IF(D120="","",D120)</f>
        <v>13.23</v>
      </c>
      <c r="F120" s="158">
        <f t="shared" si="56"/>
        <v>13.23</v>
      </c>
      <c r="G120" s="159">
        <f t="shared" si="56"/>
        <v>13.23</v>
      </c>
      <c r="H120" s="157">
        <f>IF(Configure!$J21=2,Configure!$D18-Configure!$H18,IF(Configure!$J21=3,Configure!$D18-Configure!$I18,IF(Configure!$J21=4,Configure!$D18-Configure!$J18)))</f>
        <v>13.23</v>
      </c>
      <c r="I120" s="158">
        <f t="shared" si="56"/>
        <v>13.23</v>
      </c>
      <c r="J120" s="158">
        <f t="shared" si="56"/>
        <v>13.23</v>
      </c>
      <c r="K120" s="159">
        <f t="shared" si="56"/>
        <v>13.23</v>
      </c>
      <c r="L120" s="160">
        <f>IF(Configure!$L21=2,Configure!$D18-Configure!$H18,IF(Configure!$L21=3,Configure!$D18-Configure!$I18,IF(Configure!$L21=4,Configure!$D18-Configure!$J18)))</f>
        <v>13.23</v>
      </c>
      <c r="M120" s="161">
        <f t="shared" si="56"/>
        <v>13.23</v>
      </c>
      <c r="N120" s="161">
        <f t="shared" si="56"/>
        <v>13.23</v>
      </c>
      <c r="O120" s="159">
        <f t="shared" si="56"/>
        <v>13.23</v>
      </c>
      <c r="P120" s="160">
        <f>IF(Configure!$N21=2,Configure!$D18-Configure!$H18,IF(Configure!$N21=3,Configure!$D18-Configure!$I18,IF(Configure!$N21=4,Configure!$D18-Configure!$J18)))</f>
        <v>13.23</v>
      </c>
      <c r="Q120" s="161">
        <f t="shared" si="56"/>
        <v>13.23</v>
      </c>
      <c r="R120" s="161">
        <f t="shared" si="56"/>
        <v>13.23</v>
      </c>
      <c r="S120" s="159">
        <f t="shared" si="56"/>
        <v>13.23</v>
      </c>
    </row>
    <row r="121" spans="2:19" ht="14" customHeight="1" thickBot="1" x14ac:dyDescent="0.2"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</row>
    <row r="122" spans="2:19" ht="14" customHeight="1" thickBot="1" x14ac:dyDescent="0.2">
      <c r="B122"/>
      <c r="C122"/>
      <c r="D122" s="207" t="s">
        <v>32</v>
      </c>
      <c r="E122" s="208"/>
      <c r="F122" s="208"/>
      <c r="G122" s="208"/>
      <c r="H122" s="208"/>
      <c r="I122" s="208"/>
      <c r="J122" s="208"/>
      <c r="K122" s="208"/>
      <c r="L122" s="208"/>
      <c r="M122" s="208"/>
      <c r="N122" s="208"/>
      <c r="O122" s="208"/>
      <c r="P122" s="208"/>
      <c r="Q122" s="208"/>
      <c r="R122" s="208"/>
      <c r="S122" s="209"/>
    </row>
    <row r="123" spans="2:19" ht="14" customHeight="1" thickBot="1" x14ac:dyDescent="0.2">
      <c r="B123"/>
      <c r="C123"/>
      <c r="D123" s="206">
        <f>IF(D21="","",MIN(D21:G21))</f>
        <v>6.32</v>
      </c>
      <c r="E123" s="205"/>
      <c r="F123" s="181">
        <f>IF(D21="","",MAX(D21:G21))</f>
        <v>6.58</v>
      </c>
      <c r="G123" s="182"/>
      <c r="H123" s="189">
        <f>IF(H21="","",MIN(H21:K21))</f>
        <v>6.29</v>
      </c>
      <c r="I123" s="205"/>
      <c r="J123" s="181">
        <f>IF(H21="","",MAX(H21:K21))</f>
        <v>7.09</v>
      </c>
      <c r="K123" s="189"/>
      <c r="L123" s="206">
        <f>IF(L21="","",MIN(L21:O21))</f>
        <v>6.16</v>
      </c>
      <c r="M123" s="205"/>
      <c r="N123" s="181">
        <f>IF(L21="","",MAX(L21:O21))</f>
        <v>6.39</v>
      </c>
      <c r="O123" s="182"/>
      <c r="P123" s="206">
        <f>IF(P21="","",MIN(P21:S21))</f>
        <v>6.18</v>
      </c>
      <c r="Q123" s="205"/>
      <c r="R123" s="181">
        <f>IF(P21="","",MAX(P21:S21))</f>
        <v>6.47</v>
      </c>
      <c r="S123" s="182"/>
    </row>
    <row r="124" spans="2:19" ht="14" customHeight="1" thickBot="1" x14ac:dyDescent="0.2">
      <c r="B124" s="66"/>
      <c r="C124" s="66"/>
      <c r="D124" s="61">
        <f>IF(OR(D123="",F123=""),"",ABS(F123-D123))</f>
        <v>0.25999999999999979</v>
      </c>
      <c r="E124" s="62">
        <f>IF(D124="","",D124)</f>
        <v>0.25999999999999979</v>
      </c>
      <c r="F124" s="62">
        <f>IF(E124="","",E124)</f>
        <v>0.25999999999999979</v>
      </c>
      <c r="G124" s="63">
        <f>IF(F124="","",F124)</f>
        <v>0.25999999999999979</v>
      </c>
      <c r="H124" s="135">
        <f>IF(OR(H123="",J123=""),"",ABS(J123-H123))</f>
        <v>0.79999999999999982</v>
      </c>
      <c r="I124" s="62">
        <f>IF(H124="","",H124)</f>
        <v>0.79999999999999982</v>
      </c>
      <c r="J124" s="62">
        <f>IF(I124="","",I124)</f>
        <v>0.79999999999999982</v>
      </c>
      <c r="K124" s="59">
        <f>IF(J124="","",J124)</f>
        <v>0.79999999999999982</v>
      </c>
      <c r="L124" s="61">
        <f>IF(OR(L123="",N123=""),"",ABS(N123-L123))</f>
        <v>0.22999999999999954</v>
      </c>
      <c r="M124" s="62">
        <f>IF(L124="","",L124)</f>
        <v>0.22999999999999954</v>
      </c>
      <c r="N124" s="62">
        <f>IF(M124="","",M124)</f>
        <v>0.22999999999999954</v>
      </c>
      <c r="O124" s="63">
        <f>IF(N124="","",N124)</f>
        <v>0.22999999999999954</v>
      </c>
      <c r="P124" s="61">
        <f>IF(OR(P123="",R123=""),"",ABS(R123-P123))</f>
        <v>0.29000000000000004</v>
      </c>
      <c r="Q124" s="62">
        <f>IF(P124="","",P124)</f>
        <v>0.29000000000000004</v>
      </c>
      <c r="R124" s="62">
        <f>IF(Q124="","",Q124)</f>
        <v>0.29000000000000004</v>
      </c>
      <c r="S124" s="63">
        <f>IF(R124="","",R124)</f>
        <v>0.29000000000000004</v>
      </c>
    </row>
    <row r="125" spans="2:19" ht="14" customHeight="1" thickBot="1" x14ac:dyDescent="0.2">
      <c r="B125" s="66"/>
      <c r="C125" s="66"/>
      <c r="D125" s="169">
        <f>IF(Configure!H21=2,Configure!Q16,IF(Configure!H21=3,Configure!R16,IF(Configure!H21=4,Configure!S16)))</f>
        <v>1.016</v>
      </c>
      <c r="E125" s="170">
        <f>D125</f>
        <v>1.016</v>
      </c>
      <c r="F125" s="170">
        <f>E125</f>
        <v>1.016</v>
      </c>
      <c r="G125" s="171">
        <f>F125</f>
        <v>1.016</v>
      </c>
      <c r="H125" s="169">
        <f>IF(Configure!J21=2,Configure!Q16,IF(Configure!J21=3,Configure!R16,IF(Configure!J21=4,Configure!S16)))</f>
        <v>1.016</v>
      </c>
      <c r="I125" s="170">
        <f>H125</f>
        <v>1.016</v>
      </c>
      <c r="J125" s="170">
        <f>I125</f>
        <v>1.016</v>
      </c>
      <c r="K125" s="172">
        <f>J125</f>
        <v>1.016</v>
      </c>
      <c r="L125" s="169">
        <f>IF(Configure!L21=2,Configure!Q16,IF(Configure!L21=3,Configure!R16,IF(Configure!L21=4,Configure!S16)))</f>
        <v>1.016</v>
      </c>
      <c r="M125" s="170">
        <f>L125</f>
        <v>1.016</v>
      </c>
      <c r="N125" s="170">
        <f>M125</f>
        <v>1.016</v>
      </c>
      <c r="O125" s="171">
        <f>N125</f>
        <v>1.016</v>
      </c>
      <c r="P125" s="169">
        <f>IF(Configure!N21=2,Configure!Q16,IF(Configure!N21=3,Configure!R16,IF(Configure!N21=4,Configure!S16)))</f>
        <v>1.016</v>
      </c>
      <c r="Q125" s="170">
        <f>P125</f>
        <v>1.016</v>
      </c>
      <c r="R125" s="170">
        <f>Q125</f>
        <v>1.016</v>
      </c>
      <c r="S125" s="171">
        <f>R125</f>
        <v>1.016</v>
      </c>
    </row>
    <row r="126" spans="2:19" ht="14" customHeight="1" thickBot="1" x14ac:dyDescent="0.2">
      <c r="B126" s="66"/>
      <c r="C126" s="66"/>
      <c r="D126" s="58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S126" s="58"/>
    </row>
    <row r="127" spans="2:19" ht="14" customHeight="1" thickBot="1" x14ac:dyDescent="0.2">
      <c r="B127"/>
      <c r="C127"/>
      <c r="D127" s="183" t="s">
        <v>33</v>
      </c>
      <c r="E127" s="184"/>
      <c r="F127" s="184"/>
      <c r="G127" s="184"/>
      <c r="H127" s="184"/>
      <c r="I127" s="184"/>
      <c r="J127" s="184"/>
      <c r="K127" s="184"/>
      <c r="L127" s="184"/>
      <c r="M127" s="184"/>
      <c r="N127" s="184"/>
      <c r="O127" s="184"/>
      <c r="P127" s="184"/>
      <c r="Q127" s="184"/>
      <c r="R127" s="184"/>
      <c r="S127" s="185"/>
    </row>
    <row r="128" spans="2:19" ht="14" customHeight="1" x14ac:dyDescent="0.15">
      <c r="B128"/>
      <c r="C128"/>
      <c r="D128" s="17">
        <f>IF(Configure!G16="","",Configure!G16)</f>
        <v>7.15</v>
      </c>
      <c r="E128" s="18">
        <f>IF(D128="","",D128)</f>
        <v>7.15</v>
      </c>
      <c r="F128" s="18">
        <f t="shared" ref="F128:S128" si="57">IF(E128="","",E128)</f>
        <v>7.15</v>
      </c>
      <c r="G128" s="101">
        <f t="shared" si="57"/>
        <v>7.15</v>
      </c>
      <c r="H128" s="17">
        <f t="shared" si="57"/>
        <v>7.15</v>
      </c>
      <c r="I128" s="18">
        <f t="shared" si="57"/>
        <v>7.15</v>
      </c>
      <c r="J128" s="18">
        <f t="shared" si="57"/>
        <v>7.15</v>
      </c>
      <c r="K128" s="101">
        <f t="shared" si="57"/>
        <v>7.15</v>
      </c>
      <c r="L128" s="162">
        <f t="shared" si="57"/>
        <v>7.15</v>
      </c>
      <c r="M128" s="18">
        <f t="shared" si="57"/>
        <v>7.15</v>
      </c>
      <c r="N128" s="18">
        <f t="shared" si="57"/>
        <v>7.15</v>
      </c>
      <c r="O128" s="19">
        <f t="shared" si="57"/>
        <v>7.15</v>
      </c>
      <c r="P128" s="17">
        <f t="shared" si="57"/>
        <v>7.15</v>
      </c>
      <c r="Q128" s="18">
        <f t="shared" si="57"/>
        <v>7.15</v>
      </c>
      <c r="R128" s="18">
        <f t="shared" si="57"/>
        <v>7.15</v>
      </c>
      <c r="S128" s="101">
        <f t="shared" si="57"/>
        <v>7.15</v>
      </c>
    </row>
    <row r="129" spans="2:19" ht="14" customHeight="1" thickBot="1" x14ac:dyDescent="0.2">
      <c r="B129" s="66"/>
      <c r="C129" s="66"/>
      <c r="D129" s="24">
        <f>IF(Configure!F16="","",Configure!F16)</f>
        <v>6.25</v>
      </c>
      <c r="E129" s="25">
        <f t="shared" ref="E129:S131" si="58">IF(D129="","",D129)</f>
        <v>6.25</v>
      </c>
      <c r="F129" s="25">
        <f t="shared" si="58"/>
        <v>6.25</v>
      </c>
      <c r="G129" s="26">
        <f t="shared" si="58"/>
        <v>6.25</v>
      </c>
      <c r="H129" s="24">
        <f t="shared" si="58"/>
        <v>6.25</v>
      </c>
      <c r="I129" s="25">
        <f t="shared" si="58"/>
        <v>6.25</v>
      </c>
      <c r="J129" s="25">
        <f t="shared" si="58"/>
        <v>6.25</v>
      </c>
      <c r="K129" s="26">
        <f t="shared" si="58"/>
        <v>6.25</v>
      </c>
      <c r="L129" s="163">
        <f t="shared" si="58"/>
        <v>6.25</v>
      </c>
      <c r="M129" s="25">
        <f t="shared" si="58"/>
        <v>6.25</v>
      </c>
      <c r="N129" s="25">
        <f t="shared" si="58"/>
        <v>6.25</v>
      </c>
      <c r="O129" s="27">
        <f t="shared" si="58"/>
        <v>6.25</v>
      </c>
      <c r="P129" s="24">
        <f t="shared" si="58"/>
        <v>6.25</v>
      </c>
      <c r="Q129" s="25">
        <f t="shared" si="58"/>
        <v>6.25</v>
      </c>
      <c r="R129" s="25">
        <f t="shared" si="58"/>
        <v>6.25</v>
      </c>
      <c r="S129" s="26">
        <f t="shared" si="58"/>
        <v>6.25</v>
      </c>
    </row>
    <row r="130" spans="2:19" ht="14" customHeight="1" x14ac:dyDescent="0.15">
      <c r="D130" s="164">
        <f>IF(Configure!$H21=2,Configure!$D16+Configure!$H16,IF(Configure!$H21=3,Configure!$D16+Configure!$I16,IF(Configure!$H21=4,Configure!$D16+Configure!$J16)))</f>
        <v>7.5890000000000004</v>
      </c>
      <c r="E130" s="167">
        <f>IF(D130="","",D130)</f>
        <v>7.5890000000000004</v>
      </c>
      <c r="F130" s="167">
        <f>IF(E130="","",E130)</f>
        <v>7.5890000000000004</v>
      </c>
      <c r="G130" s="168">
        <f>IF(F130="","",F130)</f>
        <v>7.5890000000000004</v>
      </c>
      <c r="H130" s="164">
        <f>IF(Configure!$J21=2,Configure!$D16+Configure!$H16,IF(Configure!$J21=3,Configure!$D16+Configure!$I16,IF(Configure!$J21=4,Configure!$D16+Configure!$J16)))</f>
        <v>7.5890000000000004</v>
      </c>
      <c r="I130" s="167">
        <f t="shared" si="58"/>
        <v>7.5890000000000004</v>
      </c>
      <c r="J130" s="167">
        <f t="shared" si="58"/>
        <v>7.5890000000000004</v>
      </c>
      <c r="K130" s="168">
        <f t="shared" si="58"/>
        <v>7.5890000000000004</v>
      </c>
      <c r="L130" s="164">
        <f>IF(Configure!$L21=2,Configure!$D16+Configure!$H16,IF(Configure!$L21=3,Configure!$D16+Configure!$I16,IF(Configure!$L21=4,Configure!$D16+Configure!$J16)))</f>
        <v>7.5890000000000004</v>
      </c>
      <c r="M130" s="167">
        <f t="shared" si="58"/>
        <v>7.5890000000000004</v>
      </c>
      <c r="N130" s="167">
        <f t="shared" si="58"/>
        <v>7.5890000000000004</v>
      </c>
      <c r="O130" s="168">
        <f t="shared" si="58"/>
        <v>7.5890000000000004</v>
      </c>
      <c r="P130" s="164">
        <f>IF(Configure!$N21=2,Configure!$D16+Configure!$H16,IF(Configure!$N21=3,Configure!$D16+Configure!$I16,IF(Configure!$N21=4,Configure!$D16+Configure!$J16)))</f>
        <v>7.5890000000000004</v>
      </c>
      <c r="Q130" s="167">
        <f t="shared" si="58"/>
        <v>7.5890000000000004</v>
      </c>
      <c r="R130" s="167">
        <f t="shared" si="58"/>
        <v>7.5890000000000004</v>
      </c>
      <c r="S130" s="168">
        <f t="shared" si="58"/>
        <v>7.5890000000000004</v>
      </c>
    </row>
    <row r="131" spans="2:19" ht="14" customHeight="1" x14ac:dyDescent="0.15">
      <c r="D131" s="164">
        <f>IF(Configure!$H21=2,Configure!$D16-Configure!$H16,IF(Configure!$H21=3,Configure!$D16-Configure!$I16,IF(Configure!$H21=4,Configure!$D16-Configure!$J16)))</f>
        <v>5.8109999999999999</v>
      </c>
      <c r="E131" s="165">
        <f t="shared" si="58"/>
        <v>5.8109999999999999</v>
      </c>
      <c r="F131" s="165">
        <f t="shared" si="58"/>
        <v>5.8109999999999999</v>
      </c>
      <c r="G131" s="166">
        <f t="shared" si="58"/>
        <v>5.8109999999999999</v>
      </c>
      <c r="H131" s="164">
        <f>IF(Configure!$J21=2,Configure!$D16-Configure!$H16,IF(Configure!$J21=3,Configure!$D16-Configure!$I16,IF(Configure!$J21=4,Configure!$D16-Configure!$J16)))</f>
        <v>5.8109999999999999</v>
      </c>
      <c r="I131" s="165">
        <f>IF(H131="","",H131)</f>
        <v>5.8109999999999999</v>
      </c>
      <c r="J131" s="165">
        <f>IF(I131="","",I131)</f>
        <v>5.8109999999999999</v>
      </c>
      <c r="K131" s="166">
        <f>IF(J131="","",J131)</f>
        <v>5.8109999999999999</v>
      </c>
      <c r="L131" s="164">
        <f>IF(Configure!$L21=2,Configure!$D16-Configure!$H16,IF(Configure!$L21=3,Configure!$D16-Configure!$I16,IF(Configure!$L21=4,Configure!$D16-Configure!$J16)))</f>
        <v>5.8109999999999999</v>
      </c>
      <c r="M131" s="165">
        <f>IF(L131="","",L131)</f>
        <v>5.8109999999999999</v>
      </c>
      <c r="N131" s="165">
        <f>IF(M131="","",M131)</f>
        <v>5.8109999999999999</v>
      </c>
      <c r="O131" s="166">
        <f>IF(N131="","",N131)</f>
        <v>5.8109999999999999</v>
      </c>
      <c r="P131" s="164">
        <f>IF(Configure!$N21=2,Configure!$D16-Configure!$H16,IF(Configure!$N21=3,Configure!$D16-Configure!$I16,IF(Configure!$N21=4,Configure!$D16-Configure!$J16)))</f>
        <v>5.8109999999999999</v>
      </c>
      <c r="Q131" s="165">
        <f>IF(P131="","",P131)</f>
        <v>5.8109999999999999</v>
      </c>
      <c r="R131" s="165">
        <f>IF(Q131="","",Q131)</f>
        <v>5.8109999999999999</v>
      </c>
      <c r="S131" s="166">
        <f>IF(R131="","",R131)</f>
        <v>5.8109999999999999</v>
      </c>
    </row>
    <row r="132" spans="2:19" ht="14" thickBot="1" x14ac:dyDescent="0.2"/>
    <row r="133" spans="2:19" ht="14" customHeight="1" thickBot="1" x14ac:dyDescent="0.2">
      <c r="B133"/>
      <c r="C133"/>
      <c r="D133" s="183" t="s">
        <v>34</v>
      </c>
      <c r="E133" s="184"/>
      <c r="F133" s="184"/>
      <c r="G133" s="184"/>
      <c r="H133" s="184"/>
      <c r="I133" s="184"/>
      <c r="J133" s="184"/>
      <c r="K133" s="184"/>
      <c r="L133" s="184"/>
      <c r="M133" s="184"/>
      <c r="N133" s="184"/>
      <c r="O133" s="184"/>
      <c r="P133" s="184"/>
      <c r="Q133" s="184"/>
      <c r="R133" s="184"/>
      <c r="S133" s="185"/>
    </row>
    <row r="134" spans="2:19" ht="14" customHeight="1" thickBot="1" x14ac:dyDescent="0.2">
      <c r="B134"/>
      <c r="C134"/>
      <c r="D134" s="102">
        <v>1800</v>
      </c>
      <c r="E134" s="103">
        <f>IF(D134="","",D134)</f>
        <v>1800</v>
      </c>
      <c r="F134" s="103">
        <f t="shared" ref="F134:S134" si="59">IF(E134="","",E134)</f>
        <v>1800</v>
      </c>
      <c r="G134" s="104">
        <f t="shared" si="59"/>
        <v>1800</v>
      </c>
      <c r="H134" s="102">
        <f t="shared" si="59"/>
        <v>1800</v>
      </c>
      <c r="I134" s="103">
        <f t="shared" si="59"/>
        <v>1800</v>
      </c>
      <c r="J134" s="103">
        <f t="shared" si="59"/>
        <v>1800</v>
      </c>
      <c r="K134" s="104">
        <f t="shared" si="59"/>
        <v>1800</v>
      </c>
      <c r="L134" s="102">
        <f t="shared" si="59"/>
        <v>1800</v>
      </c>
      <c r="M134" s="103">
        <f t="shared" si="59"/>
        <v>1800</v>
      </c>
      <c r="N134" s="103">
        <f t="shared" si="59"/>
        <v>1800</v>
      </c>
      <c r="O134" s="104">
        <f t="shared" si="59"/>
        <v>1800</v>
      </c>
      <c r="P134" s="102">
        <f t="shared" si="59"/>
        <v>1800</v>
      </c>
      <c r="Q134" s="103">
        <f t="shared" si="59"/>
        <v>1800</v>
      </c>
      <c r="R134" s="103">
        <f t="shared" si="59"/>
        <v>1800</v>
      </c>
      <c r="S134" s="104">
        <f t="shared" si="59"/>
        <v>1800</v>
      </c>
    </row>
    <row r="135" spans="2:19" ht="14" customHeight="1" thickBot="1" x14ac:dyDescent="0.2"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</row>
    <row r="136" spans="2:19" ht="14" customHeight="1" thickBot="1" x14ac:dyDescent="0.2">
      <c r="B136"/>
      <c r="C136"/>
      <c r="D136" s="183" t="s">
        <v>35</v>
      </c>
      <c r="E136" s="184"/>
      <c r="F136" s="184"/>
      <c r="G136" s="184"/>
      <c r="H136" s="184"/>
      <c r="I136" s="184"/>
      <c r="J136" s="184"/>
      <c r="K136" s="184"/>
      <c r="L136" s="184"/>
      <c r="M136" s="184"/>
      <c r="N136" s="184"/>
      <c r="O136" s="184"/>
      <c r="P136" s="184"/>
      <c r="Q136" s="184"/>
      <c r="R136" s="184"/>
      <c r="S136" s="185"/>
    </row>
    <row r="137" spans="2:19" ht="14" customHeight="1" thickBot="1" x14ac:dyDescent="0.2">
      <c r="B137"/>
      <c r="C137"/>
      <c r="D137" s="102">
        <v>16</v>
      </c>
      <c r="E137" s="103">
        <f>IF(D137="","",D137)</f>
        <v>16</v>
      </c>
      <c r="F137" s="103">
        <f t="shared" ref="F137:S138" si="60">IF(E137="","",E137)</f>
        <v>16</v>
      </c>
      <c r="G137" s="104">
        <f t="shared" si="60"/>
        <v>16</v>
      </c>
      <c r="H137" s="102">
        <f t="shared" si="60"/>
        <v>16</v>
      </c>
      <c r="I137" s="103">
        <f t="shared" si="60"/>
        <v>16</v>
      </c>
      <c r="J137" s="103">
        <f t="shared" si="60"/>
        <v>16</v>
      </c>
      <c r="K137" s="104">
        <f t="shared" si="60"/>
        <v>16</v>
      </c>
      <c r="L137" s="102">
        <f t="shared" si="60"/>
        <v>16</v>
      </c>
      <c r="M137" s="103">
        <f t="shared" si="60"/>
        <v>16</v>
      </c>
      <c r="N137" s="103">
        <f t="shared" si="60"/>
        <v>16</v>
      </c>
      <c r="O137" s="104">
        <f t="shared" si="60"/>
        <v>16</v>
      </c>
      <c r="P137" s="102">
        <f t="shared" si="60"/>
        <v>16</v>
      </c>
      <c r="Q137" s="103">
        <f t="shared" si="60"/>
        <v>16</v>
      </c>
      <c r="R137" s="103">
        <f t="shared" si="60"/>
        <v>16</v>
      </c>
      <c r="S137" s="104">
        <f t="shared" si="60"/>
        <v>16</v>
      </c>
    </row>
    <row r="138" spans="2:19" ht="14" customHeight="1" thickBot="1" x14ac:dyDescent="0.2">
      <c r="B138"/>
      <c r="C138"/>
      <c r="D138" s="102">
        <v>8</v>
      </c>
      <c r="E138" s="103">
        <f>IF(D138="","",D138)</f>
        <v>8</v>
      </c>
      <c r="F138" s="103">
        <f t="shared" si="60"/>
        <v>8</v>
      </c>
      <c r="G138" s="104">
        <f t="shared" si="60"/>
        <v>8</v>
      </c>
      <c r="H138" s="102">
        <f t="shared" si="60"/>
        <v>8</v>
      </c>
      <c r="I138" s="103">
        <f t="shared" si="60"/>
        <v>8</v>
      </c>
      <c r="J138" s="103">
        <f t="shared" si="60"/>
        <v>8</v>
      </c>
      <c r="K138" s="104">
        <f t="shared" si="60"/>
        <v>8</v>
      </c>
      <c r="L138" s="102">
        <f t="shared" si="60"/>
        <v>8</v>
      </c>
      <c r="M138" s="103">
        <f t="shared" si="60"/>
        <v>8</v>
      </c>
      <c r="N138" s="103">
        <f t="shared" si="60"/>
        <v>8</v>
      </c>
      <c r="O138" s="104">
        <f t="shared" si="60"/>
        <v>8</v>
      </c>
      <c r="P138" s="102">
        <f t="shared" si="60"/>
        <v>8</v>
      </c>
      <c r="Q138" s="103">
        <f t="shared" si="60"/>
        <v>8</v>
      </c>
      <c r="R138" s="103">
        <f t="shared" si="60"/>
        <v>8</v>
      </c>
      <c r="S138" s="104">
        <f t="shared" si="60"/>
        <v>8</v>
      </c>
    </row>
    <row r="139" spans="2:19" ht="14" thickBot="1" x14ac:dyDescent="0.2"/>
    <row r="140" spans="2:19" ht="14" customHeight="1" thickBot="1" x14ac:dyDescent="0.2">
      <c r="B140"/>
      <c r="C140"/>
      <c r="D140" s="183" t="s">
        <v>36</v>
      </c>
      <c r="E140" s="184"/>
      <c r="F140" s="184"/>
      <c r="G140" s="184"/>
      <c r="H140" s="184"/>
      <c r="I140" s="184"/>
      <c r="J140" s="184"/>
      <c r="K140" s="184"/>
      <c r="L140" s="184"/>
      <c r="M140" s="184"/>
      <c r="N140" s="184"/>
      <c r="O140" s="184"/>
      <c r="P140" s="184"/>
      <c r="Q140" s="184"/>
      <c r="R140" s="184"/>
      <c r="S140" s="185"/>
    </row>
    <row r="141" spans="2:19" ht="14" customHeight="1" thickBot="1" x14ac:dyDescent="0.2">
      <c r="B141"/>
      <c r="C141"/>
      <c r="D141" s="102">
        <v>96.3</v>
      </c>
      <c r="E141" s="103">
        <f>IF(D141="","",D141)</f>
        <v>96.3</v>
      </c>
      <c r="F141" s="103">
        <f t="shared" ref="F141:S141" si="61">IF(E141="","",E141)</f>
        <v>96.3</v>
      </c>
      <c r="G141" s="104">
        <f t="shared" si="61"/>
        <v>96.3</v>
      </c>
      <c r="H141" s="102">
        <f t="shared" si="61"/>
        <v>96.3</v>
      </c>
      <c r="I141" s="103">
        <f t="shared" si="61"/>
        <v>96.3</v>
      </c>
      <c r="J141" s="103">
        <f t="shared" si="61"/>
        <v>96.3</v>
      </c>
      <c r="K141" s="104">
        <f t="shared" si="61"/>
        <v>96.3</v>
      </c>
      <c r="L141" s="102">
        <f t="shared" si="61"/>
        <v>96.3</v>
      </c>
      <c r="M141" s="103">
        <f t="shared" si="61"/>
        <v>96.3</v>
      </c>
      <c r="N141" s="103">
        <f t="shared" si="61"/>
        <v>96.3</v>
      </c>
      <c r="O141" s="104">
        <f t="shared" si="61"/>
        <v>96.3</v>
      </c>
      <c r="P141" s="102">
        <f t="shared" si="61"/>
        <v>96.3</v>
      </c>
      <c r="Q141" s="103">
        <f t="shared" si="61"/>
        <v>96.3</v>
      </c>
      <c r="R141" s="103">
        <f t="shared" si="61"/>
        <v>96.3</v>
      </c>
      <c r="S141" s="104">
        <f t="shared" si="61"/>
        <v>96.3</v>
      </c>
    </row>
    <row r="142" spans="2:19" ht="14" thickBot="1" x14ac:dyDescent="0.2"/>
    <row r="143" spans="2:19" ht="13.5" customHeight="1" thickBot="1" x14ac:dyDescent="0.2">
      <c r="B143"/>
      <c r="C143"/>
      <c r="D143" s="183" t="s">
        <v>37</v>
      </c>
      <c r="E143" s="184"/>
      <c r="F143" s="184"/>
      <c r="G143" s="184"/>
      <c r="H143" s="184"/>
      <c r="I143" s="184"/>
      <c r="J143" s="184"/>
      <c r="K143" s="184"/>
      <c r="L143" s="184"/>
      <c r="M143" s="184"/>
      <c r="N143" s="184"/>
      <c r="O143" s="184"/>
      <c r="P143" s="184"/>
      <c r="Q143" s="184"/>
      <c r="R143" s="184"/>
      <c r="S143" s="185"/>
    </row>
    <row r="144" spans="2:19" ht="14" customHeight="1" thickBot="1" x14ac:dyDescent="0.2">
      <c r="B144"/>
      <c r="C144"/>
      <c r="D144" s="102">
        <v>93.3</v>
      </c>
      <c r="E144" s="103">
        <f>IF(D144="","",D144)</f>
        <v>93.3</v>
      </c>
      <c r="F144" s="103">
        <f t="shared" ref="F144:S144" si="62">IF(E144="","",E144)</f>
        <v>93.3</v>
      </c>
      <c r="G144" s="105">
        <f t="shared" si="62"/>
        <v>93.3</v>
      </c>
      <c r="H144" s="102">
        <f t="shared" si="62"/>
        <v>93.3</v>
      </c>
      <c r="I144" s="103">
        <f t="shared" si="62"/>
        <v>93.3</v>
      </c>
      <c r="J144" s="103">
        <f t="shared" si="62"/>
        <v>93.3</v>
      </c>
      <c r="K144" s="104">
        <f t="shared" si="62"/>
        <v>93.3</v>
      </c>
      <c r="L144" s="102">
        <f t="shared" si="62"/>
        <v>93.3</v>
      </c>
      <c r="M144" s="103">
        <f t="shared" si="62"/>
        <v>93.3</v>
      </c>
      <c r="N144" s="103">
        <f t="shared" si="62"/>
        <v>93.3</v>
      </c>
      <c r="O144" s="104">
        <f t="shared" si="62"/>
        <v>93.3</v>
      </c>
      <c r="P144" s="102">
        <f t="shared" si="62"/>
        <v>93.3</v>
      </c>
      <c r="Q144" s="103">
        <f t="shared" si="62"/>
        <v>93.3</v>
      </c>
      <c r="R144" s="103">
        <f t="shared" si="62"/>
        <v>93.3</v>
      </c>
      <c r="S144" s="104">
        <f t="shared" si="62"/>
        <v>93.3</v>
      </c>
    </row>
    <row r="145" spans="2:19" ht="14" thickBot="1" x14ac:dyDescent="0.2">
      <c r="B145" s="77"/>
      <c r="C145" s="74"/>
      <c r="D145" s="75"/>
      <c r="E145" s="100"/>
      <c r="F145" s="100"/>
      <c r="G145" s="100"/>
      <c r="H145" s="100"/>
      <c r="I145" s="100"/>
      <c r="J145" s="100"/>
      <c r="K145" s="100"/>
      <c r="L145" s="100"/>
      <c r="M145" s="100"/>
      <c r="N145" s="100"/>
      <c r="O145" s="100"/>
      <c r="P145" s="100"/>
      <c r="Q145" s="100"/>
      <c r="R145" s="100"/>
      <c r="S145" s="100"/>
    </row>
    <row r="146" spans="2:19" ht="14" thickBot="1" x14ac:dyDescent="0.2">
      <c r="B146"/>
      <c r="C146"/>
      <c r="D146" s="198" t="s">
        <v>38</v>
      </c>
      <c r="E146" s="199"/>
      <c r="F146" s="199"/>
      <c r="G146" s="199"/>
      <c r="H146" s="199"/>
      <c r="I146" s="199"/>
      <c r="J146" s="199"/>
      <c r="K146" s="199"/>
      <c r="L146" s="199"/>
      <c r="M146" s="199"/>
      <c r="N146" s="199"/>
      <c r="O146" s="199"/>
      <c r="P146" s="199"/>
      <c r="Q146" s="199"/>
      <c r="R146" s="199"/>
      <c r="S146" s="200"/>
    </row>
    <row r="147" spans="2:19" ht="14" thickBot="1" x14ac:dyDescent="0.2">
      <c r="B147"/>
      <c r="C147"/>
      <c r="D147" s="203" t="str">
        <f>IF(D35="","",MIN(D35:G35))</f>
        <v/>
      </c>
      <c r="E147" s="204"/>
      <c r="F147" s="201" t="str">
        <f>IF(D35="","",MAX(D35:G35))</f>
        <v/>
      </c>
      <c r="G147" s="202"/>
      <c r="H147" s="203" t="str">
        <f>IF(H35="","",MIN(H35:K35))</f>
        <v/>
      </c>
      <c r="I147" s="204"/>
      <c r="J147" s="201" t="str">
        <f>IF(H35="","",MAX(H35:K35))</f>
        <v/>
      </c>
      <c r="K147" s="202"/>
      <c r="L147" s="203" t="str">
        <f>IF(L35="","",MIN(L35:O35))</f>
        <v/>
      </c>
      <c r="M147" s="204"/>
      <c r="N147" s="201" t="str">
        <f>IF(L35="","",MAX(L35:O35))</f>
        <v/>
      </c>
      <c r="O147" s="202"/>
      <c r="P147" s="203" t="str">
        <f>IF(P35="","",MIN(P35:S35))</f>
        <v/>
      </c>
      <c r="Q147" s="204"/>
      <c r="R147" s="201" t="str">
        <f>IF(P35="","",MAX(P35:S35))</f>
        <v/>
      </c>
      <c r="S147" s="202"/>
    </row>
    <row r="148" spans="2:19" ht="14" thickBot="1" x14ac:dyDescent="0.2">
      <c r="B148"/>
      <c r="C148"/>
      <c r="D148" s="70" t="str">
        <f>IF(OR(D147="",F147=""),"",ABS(F147-D147))</f>
        <v/>
      </c>
      <c r="E148" s="71" t="str">
        <f t="shared" ref="E148:G149" si="63">IF(D148="","",D148)</f>
        <v/>
      </c>
      <c r="F148" s="71" t="str">
        <f t="shared" si="63"/>
        <v/>
      </c>
      <c r="G148" s="65" t="str">
        <f t="shared" si="63"/>
        <v/>
      </c>
      <c r="H148" s="70" t="str">
        <f>IF(OR(H147="",J147=""),"",ABS(J147-H147))</f>
        <v/>
      </c>
      <c r="I148" s="71" t="str">
        <f t="shared" ref="I148:K149" si="64">IF(H148="","",H148)</f>
        <v/>
      </c>
      <c r="J148" s="71" t="str">
        <f t="shared" si="64"/>
        <v/>
      </c>
      <c r="K148" s="72" t="str">
        <f t="shared" si="64"/>
        <v/>
      </c>
      <c r="L148" s="118" t="str">
        <f>IF(OR(L147="",N147=""),"",ABS(N147-L147))</f>
        <v/>
      </c>
      <c r="M148" s="71" t="str">
        <f t="shared" ref="M148:O149" si="65">IF(L148="","",L148)</f>
        <v/>
      </c>
      <c r="N148" s="71" t="str">
        <f t="shared" si="65"/>
        <v/>
      </c>
      <c r="O148" s="65" t="str">
        <f t="shared" si="65"/>
        <v/>
      </c>
      <c r="P148" s="70" t="str">
        <f>IF(OR(P147="",R147=""),"",ABS(R147-P147))</f>
        <v/>
      </c>
      <c r="Q148" s="71" t="str">
        <f t="shared" ref="Q148:S149" si="66">IF(P148="","",P148)</f>
        <v/>
      </c>
      <c r="R148" s="71" t="str">
        <f t="shared" si="66"/>
        <v/>
      </c>
      <c r="S148" s="72" t="str">
        <f t="shared" si="66"/>
        <v/>
      </c>
    </row>
    <row r="149" spans="2:19" ht="14" thickBot="1" x14ac:dyDescent="0.2">
      <c r="B149" s="74"/>
      <c r="C149" s="74"/>
      <c r="D149" s="70">
        <f>IF(Configure!$Q$17="","",IF(Configure!$H$22=2,Configure!$Q$17,IF(Configure!$H$22=3,(Configure!$Q$17*Configure!$D$21),IF(Configure!$H$22=4,(Configure!$Q$17*Configure!$D$22)))))</f>
        <v>31.75</v>
      </c>
      <c r="E149" s="71">
        <f t="shared" si="63"/>
        <v>31.75</v>
      </c>
      <c r="F149" s="71">
        <f t="shared" si="63"/>
        <v>31.75</v>
      </c>
      <c r="G149" s="72">
        <f t="shared" si="63"/>
        <v>31.75</v>
      </c>
      <c r="H149" s="70">
        <f>IF(Configure!$Q$17="","",IF(Configure!$J$22=2,Configure!$Q$17,IF(Configure!$J$22=3,(Configure!$Q$17*Configure!$D$21),IF(Configure!$J$22=4,(Configure!$Q$17*Configure!$D$22)))))</f>
        <v>31.75</v>
      </c>
      <c r="I149" s="71">
        <f t="shared" si="64"/>
        <v>31.75</v>
      </c>
      <c r="J149" s="71">
        <f t="shared" si="64"/>
        <v>31.75</v>
      </c>
      <c r="K149" s="72">
        <f t="shared" si="64"/>
        <v>31.75</v>
      </c>
      <c r="L149" s="70">
        <f>IF(Configure!$Q$17="","",IF(Configure!$L$22=2,Configure!$Q$17,IF(Configure!$L$22=3,(Configure!$Q$17*Configure!$D$21),IF(Configure!$L$22=4,(Configure!$Q$17*Configure!$D$22)))))</f>
        <v>31.75</v>
      </c>
      <c r="M149" s="71">
        <f t="shared" si="65"/>
        <v>31.75</v>
      </c>
      <c r="N149" s="71">
        <f t="shared" si="65"/>
        <v>31.75</v>
      </c>
      <c r="O149" s="72">
        <f t="shared" si="65"/>
        <v>31.75</v>
      </c>
      <c r="P149" s="70">
        <f>IF(Configure!$Q$17="","",IF(Configure!$N$22=2,Configure!$Q$17,IF(Configure!$N$22=3,(Configure!$Q$17*Configure!$D$21),IF(Configure!$N$22=4,(Configure!$Q$17*Configure!$D$22)))))</f>
        <v>31.75</v>
      </c>
      <c r="Q149" s="71">
        <f t="shared" si="66"/>
        <v>31.75</v>
      </c>
      <c r="R149" s="71">
        <f t="shared" si="66"/>
        <v>31.75</v>
      </c>
      <c r="S149" s="72">
        <f t="shared" si="66"/>
        <v>31.75</v>
      </c>
    </row>
    <row r="150" spans="2:19" ht="14" thickBot="1" x14ac:dyDescent="0.2">
      <c r="B150" s="74"/>
      <c r="C150" s="74"/>
      <c r="D150" s="100"/>
      <c r="E150" s="100"/>
      <c r="F150" s="100"/>
      <c r="G150" s="100"/>
      <c r="H150" s="100"/>
      <c r="I150" s="100"/>
      <c r="J150" s="100"/>
      <c r="K150" s="100"/>
      <c r="L150" s="100"/>
      <c r="M150" s="100"/>
      <c r="N150" s="100"/>
      <c r="O150" s="100"/>
      <c r="P150" s="100"/>
      <c r="Q150" s="100"/>
      <c r="R150" s="100"/>
      <c r="S150" s="100"/>
    </row>
    <row r="151" spans="2:19" ht="14" thickBot="1" x14ac:dyDescent="0.2">
      <c r="B151"/>
      <c r="C151"/>
      <c r="D151" s="198" t="s">
        <v>39</v>
      </c>
      <c r="E151" s="199"/>
      <c r="F151" s="199"/>
      <c r="G151" s="199"/>
      <c r="H151" s="199"/>
      <c r="I151" s="199"/>
      <c r="J151" s="199"/>
      <c r="K151" s="199"/>
      <c r="L151" s="199"/>
      <c r="M151" s="199"/>
      <c r="N151" s="199"/>
      <c r="O151" s="199"/>
      <c r="P151" s="199"/>
      <c r="Q151" s="199"/>
      <c r="R151" s="199"/>
      <c r="S151" s="200"/>
    </row>
    <row r="152" spans="2:19" x14ac:dyDescent="0.15">
      <c r="B152"/>
      <c r="C152"/>
      <c r="D152" s="11">
        <f>IF(Configure!G17="","",Configure!G17)</f>
        <v>318</v>
      </c>
      <c r="E152" s="4">
        <f>IF(D152="","",D152)</f>
        <v>318</v>
      </c>
      <c r="F152" s="4">
        <f t="shared" ref="F152:S152" si="67">IF(E152="","",E152)</f>
        <v>318</v>
      </c>
      <c r="G152" s="5">
        <f t="shared" si="67"/>
        <v>318</v>
      </c>
      <c r="H152" s="128">
        <f t="shared" si="67"/>
        <v>318</v>
      </c>
      <c r="I152" s="4">
        <f t="shared" si="67"/>
        <v>318</v>
      </c>
      <c r="J152" s="4">
        <f t="shared" si="67"/>
        <v>318</v>
      </c>
      <c r="K152" s="132">
        <f t="shared" si="67"/>
        <v>318</v>
      </c>
      <c r="L152" s="11">
        <f t="shared" si="67"/>
        <v>318</v>
      </c>
      <c r="M152" s="4">
        <f t="shared" si="67"/>
        <v>318</v>
      </c>
      <c r="N152" s="4">
        <f t="shared" si="67"/>
        <v>318</v>
      </c>
      <c r="O152" s="5">
        <f t="shared" si="67"/>
        <v>318</v>
      </c>
      <c r="P152" s="11">
        <f t="shared" si="67"/>
        <v>318</v>
      </c>
      <c r="Q152" s="4">
        <f t="shared" si="67"/>
        <v>318</v>
      </c>
      <c r="R152" s="4">
        <f t="shared" si="67"/>
        <v>318</v>
      </c>
      <c r="S152" s="5">
        <f t="shared" si="67"/>
        <v>318</v>
      </c>
    </row>
    <row r="153" spans="2:19" ht="14" thickBot="1" x14ac:dyDescent="0.2">
      <c r="B153" s="74"/>
      <c r="C153" s="74"/>
      <c r="D153" s="32">
        <f>IF(Configure!F17="","",Configure!F17)</f>
        <v>292</v>
      </c>
      <c r="E153" s="76">
        <f t="shared" ref="E153:S155" si="68">IF(D153="","",D153)</f>
        <v>292</v>
      </c>
      <c r="F153" s="76">
        <f t="shared" si="68"/>
        <v>292</v>
      </c>
      <c r="G153" s="90">
        <f t="shared" si="68"/>
        <v>292</v>
      </c>
      <c r="H153" s="129">
        <f t="shared" si="68"/>
        <v>292</v>
      </c>
      <c r="I153" s="76">
        <f t="shared" si="68"/>
        <v>292</v>
      </c>
      <c r="J153" s="76">
        <f t="shared" si="68"/>
        <v>292</v>
      </c>
      <c r="K153" s="133">
        <f t="shared" si="68"/>
        <v>292</v>
      </c>
      <c r="L153" s="32">
        <f t="shared" si="68"/>
        <v>292</v>
      </c>
      <c r="M153" s="76">
        <f t="shared" si="68"/>
        <v>292</v>
      </c>
      <c r="N153" s="76">
        <f t="shared" si="68"/>
        <v>292</v>
      </c>
      <c r="O153" s="90">
        <f t="shared" si="68"/>
        <v>292</v>
      </c>
      <c r="P153" s="32">
        <f t="shared" si="68"/>
        <v>292</v>
      </c>
      <c r="Q153" s="76">
        <f t="shared" si="68"/>
        <v>292</v>
      </c>
      <c r="R153" s="76">
        <f t="shared" si="68"/>
        <v>292</v>
      </c>
      <c r="S153" s="90">
        <f t="shared" si="68"/>
        <v>292</v>
      </c>
    </row>
    <row r="154" spans="2:19" x14ac:dyDescent="0.15">
      <c r="B154" s="74"/>
      <c r="C154" s="74"/>
      <c r="D154" s="2">
        <f>IF(Configure!L17="","",Configure!L17)</f>
        <v>325</v>
      </c>
      <c r="E154" s="3">
        <f t="shared" si="68"/>
        <v>325</v>
      </c>
      <c r="F154" s="3">
        <f t="shared" si="68"/>
        <v>325</v>
      </c>
      <c r="G154" s="131">
        <f t="shared" si="68"/>
        <v>325</v>
      </c>
      <c r="H154" s="130">
        <f t="shared" si="68"/>
        <v>325</v>
      </c>
      <c r="I154" s="3">
        <f t="shared" si="68"/>
        <v>325</v>
      </c>
      <c r="J154" s="3">
        <f t="shared" si="68"/>
        <v>325</v>
      </c>
      <c r="K154" s="134">
        <f t="shared" si="68"/>
        <v>325</v>
      </c>
      <c r="L154" s="2">
        <f t="shared" si="68"/>
        <v>325</v>
      </c>
      <c r="M154" s="3">
        <f t="shared" si="68"/>
        <v>325</v>
      </c>
      <c r="N154" s="3">
        <f t="shared" si="68"/>
        <v>325</v>
      </c>
      <c r="O154" s="131">
        <f t="shared" si="68"/>
        <v>325</v>
      </c>
      <c r="P154" s="2">
        <f t="shared" si="68"/>
        <v>325</v>
      </c>
      <c r="Q154" s="3">
        <f t="shared" si="68"/>
        <v>325</v>
      </c>
      <c r="R154" s="3">
        <f t="shared" si="68"/>
        <v>325</v>
      </c>
      <c r="S154" s="131">
        <f t="shared" si="68"/>
        <v>325</v>
      </c>
    </row>
    <row r="155" spans="2:19" ht="14" thickBot="1" x14ac:dyDescent="0.2">
      <c r="B155" s="74"/>
      <c r="C155" s="74"/>
      <c r="D155" s="32">
        <f>IF(Configure!K17="","",Configure!K17)</f>
        <v>285</v>
      </c>
      <c r="E155" s="76">
        <f t="shared" si="68"/>
        <v>285</v>
      </c>
      <c r="F155" s="76">
        <f t="shared" si="68"/>
        <v>285</v>
      </c>
      <c r="G155" s="90">
        <f t="shared" si="68"/>
        <v>285</v>
      </c>
      <c r="H155" s="129">
        <f t="shared" si="68"/>
        <v>285</v>
      </c>
      <c r="I155" s="76">
        <f t="shared" si="68"/>
        <v>285</v>
      </c>
      <c r="J155" s="76">
        <f t="shared" si="68"/>
        <v>285</v>
      </c>
      <c r="K155" s="133">
        <f t="shared" si="68"/>
        <v>285</v>
      </c>
      <c r="L155" s="32">
        <f t="shared" si="68"/>
        <v>285</v>
      </c>
      <c r="M155" s="76">
        <f t="shared" si="68"/>
        <v>285</v>
      </c>
      <c r="N155" s="76">
        <f t="shared" si="68"/>
        <v>285</v>
      </c>
      <c r="O155" s="90">
        <f t="shared" si="68"/>
        <v>285</v>
      </c>
      <c r="P155" s="32">
        <f t="shared" si="68"/>
        <v>285</v>
      </c>
      <c r="Q155" s="76">
        <f t="shared" si="68"/>
        <v>285</v>
      </c>
      <c r="R155" s="76">
        <f t="shared" si="68"/>
        <v>285</v>
      </c>
      <c r="S155" s="90">
        <f t="shared" si="68"/>
        <v>285</v>
      </c>
    </row>
    <row r="156" spans="2:19" ht="14" thickBot="1" x14ac:dyDescent="0.2"/>
    <row r="157" spans="2:19" ht="14" customHeight="1" x14ac:dyDescent="0.15">
      <c r="B157" s="190" t="s">
        <v>2</v>
      </c>
      <c r="C157" s="191"/>
      <c r="D157" s="17">
        <f>IF(D10="","",D10)</f>
        <v>100</v>
      </c>
      <c r="E157" s="18">
        <f t="shared" ref="E157:E166" si="69">IF(E10="",D157,E10)</f>
        <v>100</v>
      </c>
      <c r="F157" s="18">
        <f>IF(F10="","",F10)</f>
        <v>100</v>
      </c>
      <c r="G157" s="18">
        <f t="shared" ref="G157:G166" si="70">IF(G10="",F157,G10)</f>
        <v>100</v>
      </c>
      <c r="H157" s="17">
        <f>IF(H10="","",H10)</f>
        <v>100</v>
      </c>
      <c r="I157" s="18">
        <f t="shared" ref="I157:I166" si="71">IF(I10="",H157,I10)</f>
        <v>100</v>
      </c>
      <c r="J157" s="18">
        <f>IF(J10="","",J10)</f>
        <v>100</v>
      </c>
      <c r="K157" s="19">
        <f t="shared" ref="K157:K166" si="72">IF(K10="",J157,K10)</f>
        <v>100</v>
      </c>
      <c r="L157" s="17">
        <f>IF(L10="","",L10)</f>
        <v>100</v>
      </c>
      <c r="M157" s="18">
        <f t="shared" ref="M157:M166" si="73">IF(M10="",L157,M10)</f>
        <v>100</v>
      </c>
      <c r="N157" s="19">
        <f>IF(N10="","",N10)</f>
        <v>100</v>
      </c>
      <c r="O157" s="101">
        <f t="shared" ref="O157:O166" si="74">IF(O10="",N157,O10)</f>
        <v>100</v>
      </c>
      <c r="P157" s="17">
        <f>IF(P10="","",P10)</f>
        <v>100</v>
      </c>
      <c r="Q157" s="18">
        <f t="shared" ref="Q157:Q166" si="75">IF(Q10="",P157,Q10)</f>
        <v>100</v>
      </c>
      <c r="R157" s="19">
        <f>IF(R10="","",R10)</f>
        <v>100</v>
      </c>
      <c r="S157" s="101">
        <f t="shared" ref="S157:S166" si="76">IF(S10="",R157,S10)</f>
        <v>100</v>
      </c>
    </row>
    <row r="158" spans="2:19" ht="14" customHeight="1" x14ac:dyDescent="0.15">
      <c r="B158" s="177" t="s">
        <v>3</v>
      </c>
      <c r="C158" s="178"/>
      <c r="D158" s="20">
        <f t="shared" ref="D158:R166" si="77">IF(D11="","",D11)</f>
        <v>97.73</v>
      </c>
      <c r="E158" s="21">
        <f t="shared" si="69"/>
        <v>97.28</v>
      </c>
      <c r="F158" s="21">
        <f t="shared" si="77"/>
        <v>94.69</v>
      </c>
      <c r="G158" s="21">
        <f t="shared" si="70"/>
        <v>95.45</v>
      </c>
      <c r="H158" s="20">
        <f t="shared" si="77"/>
        <v>98.25</v>
      </c>
      <c r="I158" s="21">
        <f t="shared" si="71"/>
        <v>97.08</v>
      </c>
      <c r="J158" s="21">
        <f t="shared" si="77"/>
        <v>95.92</v>
      </c>
      <c r="K158" s="23">
        <f t="shared" si="72"/>
        <v>96.54</v>
      </c>
      <c r="L158" s="20">
        <f t="shared" si="77"/>
        <v>94.9</v>
      </c>
      <c r="M158" s="21">
        <f t="shared" si="73"/>
        <v>95.8</v>
      </c>
      <c r="N158" s="23">
        <f t="shared" si="77"/>
        <v>96.06</v>
      </c>
      <c r="O158" s="22">
        <f t="shared" si="74"/>
        <v>96.12</v>
      </c>
      <c r="P158" s="20">
        <f t="shared" si="77"/>
        <v>95.14</v>
      </c>
      <c r="Q158" s="21">
        <f t="shared" si="75"/>
        <v>95.67</v>
      </c>
      <c r="R158" s="23">
        <f t="shared" si="77"/>
        <v>96.39</v>
      </c>
      <c r="S158" s="22">
        <f t="shared" si="76"/>
        <v>94.8</v>
      </c>
    </row>
    <row r="159" spans="2:19" ht="14" customHeight="1" x14ac:dyDescent="0.15">
      <c r="B159" s="177" t="s">
        <v>4</v>
      </c>
      <c r="C159" s="178"/>
      <c r="D159" s="20">
        <f t="shared" si="77"/>
        <v>90</v>
      </c>
      <c r="E159" s="21">
        <f t="shared" si="69"/>
        <v>90.18</v>
      </c>
      <c r="F159" s="21">
        <f t="shared" si="77"/>
        <v>86.48</v>
      </c>
      <c r="G159" s="21">
        <f t="shared" si="70"/>
        <v>84.86</v>
      </c>
      <c r="H159" s="20">
        <f t="shared" si="77"/>
        <v>91.39</v>
      </c>
      <c r="I159" s="21">
        <f t="shared" si="71"/>
        <v>89.36</v>
      </c>
      <c r="J159" s="21">
        <f t="shared" si="77"/>
        <v>90.25</v>
      </c>
      <c r="K159" s="23">
        <f t="shared" si="72"/>
        <v>88.84</v>
      </c>
      <c r="L159" s="20">
        <f t="shared" si="77"/>
        <v>82.99</v>
      </c>
      <c r="M159" s="21">
        <f t="shared" si="73"/>
        <v>86.89</v>
      </c>
      <c r="N159" s="23">
        <f t="shared" si="77"/>
        <v>87.69</v>
      </c>
      <c r="O159" s="22">
        <f t="shared" si="74"/>
        <v>89.24</v>
      </c>
      <c r="P159" s="20">
        <f t="shared" si="77"/>
        <v>88.2</v>
      </c>
      <c r="Q159" s="21">
        <f t="shared" si="75"/>
        <v>87.03</v>
      </c>
      <c r="R159" s="23">
        <f t="shared" si="77"/>
        <v>87.49</v>
      </c>
      <c r="S159" s="22">
        <f t="shared" si="76"/>
        <v>87.9</v>
      </c>
    </row>
    <row r="160" spans="2:19" ht="14" customHeight="1" x14ac:dyDescent="0.15">
      <c r="B160" s="177" t="s">
        <v>5</v>
      </c>
      <c r="C160" s="178"/>
      <c r="D160" s="20">
        <f t="shared" si="77"/>
        <v>66.290000000000006</v>
      </c>
      <c r="E160" s="21">
        <f t="shared" si="69"/>
        <v>64.17</v>
      </c>
      <c r="F160" s="21">
        <f t="shared" si="77"/>
        <v>63.7</v>
      </c>
      <c r="G160" s="21">
        <f t="shared" si="70"/>
        <v>64.45</v>
      </c>
      <c r="H160" s="20">
        <f t="shared" si="77"/>
        <v>66.819999999999993</v>
      </c>
      <c r="I160" s="21">
        <f t="shared" si="71"/>
        <v>67.12</v>
      </c>
      <c r="J160" s="21">
        <f t="shared" si="77"/>
        <v>68.69</v>
      </c>
      <c r="K160" s="23">
        <f t="shared" si="72"/>
        <v>66.67</v>
      </c>
      <c r="L160" s="20">
        <f t="shared" si="77"/>
        <v>61.1</v>
      </c>
      <c r="M160" s="21">
        <f t="shared" si="73"/>
        <v>64.31</v>
      </c>
      <c r="N160" s="23">
        <f t="shared" si="77"/>
        <v>64.790000000000006</v>
      </c>
      <c r="O160" s="22">
        <f t="shared" si="74"/>
        <v>67.709999999999994</v>
      </c>
      <c r="P160" s="20">
        <f t="shared" si="77"/>
        <v>67</v>
      </c>
      <c r="Q160" s="21">
        <f t="shared" si="75"/>
        <v>71.09</v>
      </c>
      <c r="R160" s="23">
        <f t="shared" si="77"/>
        <v>65.42</v>
      </c>
      <c r="S160" s="22">
        <f t="shared" si="76"/>
        <v>69.61</v>
      </c>
    </row>
    <row r="161" spans="2:19" ht="14" customHeight="1" x14ac:dyDescent="0.15">
      <c r="B161" s="177" t="s">
        <v>6</v>
      </c>
      <c r="C161" s="178"/>
      <c r="D161" s="20">
        <f t="shared" si="77"/>
        <v>41.63</v>
      </c>
      <c r="E161" s="21">
        <f t="shared" si="69"/>
        <v>45.15</v>
      </c>
      <c r="F161" s="21">
        <f t="shared" si="77"/>
        <v>44.99</v>
      </c>
      <c r="G161" s="21">
        <f t="shared" si="70"/>
        <v>42.27</v>
      </c>
      <c r="H161" s="20">
        <f t="shared" si="77"/>
        <v>47.41</v>
      </c>
      <c r="I161" s="21">
        <f t="shared" si="71"/>
        <v>45.31</v>
      </c>
      <c r="J161" s="21">
        <f t="shared" si="77"/>
        <v>49.44</v>
      </c>
      <c r="K161" s="23">
        <f t="shared" si="72"/>
        <v>46.41</v>
      </c>
      <c r="L161" s="20">
        <f t="shared" si="77"/>
        <v>43.13</v>
      </c>
      <c r="M161" s="21">
        <f t="shared" si="73"/>
        <v>42.69</v>
      </c>
      <c r="N161" s="23">
        <f t="shared" si="77"/>
        <v>44.44</v>
      </c>
      <c r="O161" s="22">
        <f t="shared" si="74"/>
        <v>45.18</v>
      </c>
      <c r="P161" s="20">
        <f t="shared" si="77"/>
        <v>46.22</v>
      </c>
      <c r="Q161" s="21">
        <f t="shared" si="75"/>
        <v>46.78</v>
      </c>
      <c r="R161" s="23">
        <f t="shared" si="77"/>
        <v>45.65</v>
      </c>
      <c r="S161" s="22">
        <f t="shared" si="76"/>
        <v>47.49</v>
      </c>
    </row>
    <row r="162" spans="2:19" ht="14" customHeight="1" x14ac:dyDescent="0.15">
      <c r="B162" s="177" t="s">
        <v>7</v>
      </c>
      <c r="C162" s="178"/>
      <c r="D162" s="20">
        <f t="shared" si="77"/>
        <v>30.4</v>
      </c>
      <c r="E162" s="21">
        <f t="shared" si="69"/>
        <v>35.17</v>
      </c>
      <c r="F162" s="21">
        <f t="shared" si="77"/>
        <v>35.5</v>
      </c>
      <c r="G162" s="21">
        <f t="shared" si="70"/>
        <v>31.23</v>
      </c>
      <c r="H162" s="20">
        <f t="shared" si="77"/>
        <v>36.47</v>
      </c>
      <c r="I162" s="21">
        <f t="shared" si="71"/>
        <v>34.64</v>
      </c>
      <c r="J162" s="21">
        <f t="shared" si="77"/>
        <v>38.869999999999997</v>
      </c>
      <c r="K162" s="23">
        <f t="shared" si="72"/>
        <v>35.56</v>
      </c>
      <c r="L162" s="20">
        <f t="shared" si="77"/>
        <v>34.29</v>
      </c>
      <c r="M162" s="21">
        <f t="shared" si="73"/>
        <v>31.91</v>
      </c>
      <c r="N162" s="23">
        <f t="shared" si="77"/>
        <v>34.24</v>
      </c>
      <c r="O162" s="22">
        <f t="shared" si="74"/>
        <v>33.78</v>
      </c>
      <c r="P162" s="20">
        <f t="shared" si="77"/>
        <v>35.5</v>
      </c>
      <c r="Q162" s="21">
        <f t="shared" si="75"/>
        <v>35.18</v>
      </c>
      <c r="R162" s="23">
        <f t="shared" si="77"/>
        <v>35.65</v>
      </c>
      <c r="S162" s="22">
        <f t="shared" si="76"/>
        <v>36.28</v>
      </c>
    </row>
    <row r="163" spans="2:19" ht="14" customHeight="1" x14ac:dyDescent="0.15">
      <c r="B163" s="177" t="s">
        <v>8</v>
      </c>
      <c r="C163" s="178"/>
      <c r="D163" s="20">
        <f t="shared" si="77"/>
        <v>25.09</v>
      </c>
      <c r="E163" s="21">
        <f t="shared" si="69"/>
        <v>29.8</v>
      </c>
      <c r="F163" s="21">
        <f t="shared" si="77"/>
        <v>29.86</v>
      </c>
      <c r="G163" s="21">
        <f t="shared" si="70"/>
        <v>25.75</v>
      </c>
      <c r="H163" s="20">
        <f t="shared" si="77"/>
        <v>29.92</v>
      </c>
      <c r="I163" s="21">
        <f t="shared" si="71"/>
        <v>28.14</v>
      </c>
      <c r="J163" s="21">
        <f t="shared" si="77"/>
        <v>32.49</v>
      </c>
      <c r="K163" s="23">
        <f t="shared" si="72"/>
        <v>29.43</v>
      </c>
      <c r="L163" s="20">
        <f t="shared" si="77"/>
        <v>28.53</v>
      </c>
      <c r="M163" s="21">
        <f t="shared" si="73"/>
        <v>26.37</v>
      </c>
      <c r="N163" s="23">
        <f t="shared" si="77"/>
        <v>28.11</v>
      </c>
      <c r="O163" s="22">
        <f t="shared" si="74"/>
        <v>28.13</v>
      </c>
      <c r="P163" s="20">
        <f t="shared" si="77"/>
        <v>29.57</v>
      </c>
      <c r="Q163" s="21">
        <f t="shared" si="75"/>
        <v>27.81</v>
      </c>
      <c r="R163" s="23">
        <f t="shared" si="77"/>
        <v>30.31</v>
      </c>
      <c r="S163" s="22">
        <f t="shared" si="76"/>
        <v>30.16</v>
      </c>
    </row>
    <row r="164" spans="2:19" ht="14" customHeight="1" x14ac:dyDescent="0.15">
      <c r="B164" s="177" t="s">
        <v>9</v>
      </c>
      <c r="C164" s="178"/>
      <c r="D164" s="20">
        <f t="shared" si="77"/>
        <v>17.489999999999998</v>
      </c>
      <c r="E164" s="21">
        <f t="shared" si="69"/>
        <v>21</v>
      </c>
      <c r="F164" s="21">
        <f t="shared" si="77"/>
        <v>21.18</v>
      </c>
      <c r="G164" s="21">
        <f t="shared" si="70"/>
        <v>18.14</v>
      </c>
      <c r="H164" s="20">
        <f t="shared" si="77"/>
        <v>21.75</v>
      </c>
      <c r="I164" s="21">
        <f t="shared" si="71"/>
        <v>20.12</v>
      </c>
      <c r="J164" s="21">
        <f t="shared" si="77"/>
        <v>22.28</v>
      </c>
      <c r="K164" s="23">
        <f t="shared" si="72"/>
        <v>20.77</v>
      </c>
      <c r="L164" s="20">
        <f t="shared" si="77"/>
        <v>19.350000000000001</v>
      </c>
      <c r="M164" s="21">
        <f t="shared" si="73"/>
        <v>18.63</v>
      </c>
      <c r="N164" s="23">
        <f t="shared" si="77"/>
        <v>19.690000000000001</v>
      </c>
      <c r="O164" s="22">
        <f t="shared" si="74"/>
        <v>19.88</v>
      </c>
      <c r="P164" s="20">
        <f t="shared" si="77"/>
        <v>21.3</v>
      </c>
      <c r="Q164" s="21">
        <f t="shared" si="75"/>
        <v>19.91</v>
      </c>
      <c r="R164" s="23">
        <f t="shared" si="77"/>
        <v>21.86</v>
      </c>
      <c r="S164" s="22">
        <f t="shared" si="76"/>
        <v>21.1</v>
      </c>
    </row>
    <row r="165" spans="2:19" ht="14" customHeight="1" x14ac:dyDescent="0.15">
      <c r="B165" s="177" t="s">
        <v>10</v>
      </c>
      <c r="C165" s="178"/>
      <c r="D165" s="20">
        <f t="shared" si="77"/>
        <v>7.49</v>
      </c>
      <c r="E165" s="21">
        <f t="shared" si="69"/>
        <v>8.6999999999999993</v>
      </c>
      <c r="F165" s="21">
        <f t="shared" si="77"/>
        <v>9.61</v>
      </c>
      <c r="G165" s="21">
        <f t="shared" si="70"/>
        <v>7.61</v>
      </c>
      <c r="H165" s="20">
        <f t="shared" si="77"/>
        <v>8.5500000000000007</v>
      </c>
      <c r="I165" s="21">
        <f t="shared" si="71"/>
        <v>7.52</v>
      </c>
      <c r="J165" s="21">
        <f t="shared" si="77"/>
        <v>8.56</v>
      </c>
      <c r="K165" s="23">
        <f t="shared" si="72"/>
        <v>8.3000000000000007</v>
      </c>
      <c r="L165" s="20">
        <f t="shared" si="77"/>
        <v>7.85</v>
      </c>
      <c r="M165" s="21">
        <f t="shared" si="73"/>
        <v>8.1</v>
      </c>
      <c r="N165" s="23">
        <f t="shared" si="77"/>
        <v>8.74</v>
      </c>
      <c r="O165" s="22">
        <f t="shared" si="74"/>
        <v>8.34</v>
      </c>
      <c r="P165" s="20">
        <f t="shared" si="77"/>
        <v>8.5</v>
      </c>
      <c r="Q165" s="21">
        <f t="shared" si="75"/>
        <v>7.92</v>
      </c>
      <c r="R165" s="23">
        <f t="shared" si="77"/>
        <v>9.82</v>
      </c>
      <c r="S165" s="22">
        <f t="shared" si="76"/>
        <v>7.86</v>
      </c>
    </row>
    <row r="166" spans="2:19" ht="14" customHeight="1" thickBot="1" x14ac:dyDescent="0.2">
      <c r="B166" s="179" t="s">
        <v>11</v>
      </c>
      <c r="C166" s="180"/>
      <c r="D166" s="24">
        <f t="shared" si="77"/>
        <v>3.25</v>
      </c>
      <c r="E166" s="25">
        <f t="shared" si="69"/>
        <v>3.74</v>
      </c>
      <c r="F166" s="25">
        <f t="shared" si="77"/>
        <v>4.53</v>
      </c>
      <c r="G166" s="25">
        <f t="shared" si="70"/>
        <v>3.33</v>
      </c>
      <c r="H166" s="24">
        <f t="shared" si="77"/>
        <v>3.73</v>
      </c>
      <c r="I166" s="25">
        <f t="shared" si="71"/>
        <v>3.46</v>
      </c>
      <c r="J166" s="25">
        <f t="shared" si="77"/>
        <v>3.88</v>
      </c>
      <c r="K166" s="27">
        <f t="shared" si="72"/>
        <v>3.74</v>
      </c>
      <c r="L166" s="24">
        <f t="shared" si="77"/>
        <v>3.39</v>
      </c>
      <c r="M166" s="25">
        <f t="shared" si="73"/>
        <v>3.59</v>
      </c>
      <c r="N166" s="27">
        <f t="shared" si="77"/>
        <v>3.92</v>
      </c>
      <c r="O166" s="26">
        <f t="shared" si="74"/>
        <v>3.79</v>
      </c>
      <c r="P166" s="24">
        <f t="shared" si="77"/>
        <v>3.76</v>
      </c>
      <c r="Q166" s="25">
        <f t="shared" si="75"/>
        <v>3.64</v>
      </c>
      <c r="R166" s="27">
        <f t="shared" si="77"/>
        <v>4.6100000000000003</v>
      </c>
      <c r="S166" s="26">
        <f t="shared" si="76"/>
        <v>4.32</v>
      </c>
    </row>
    <row r="167" spans="2:19" ht="14" thickBot="1" x14ac:dyDescent="0.2"/>
    <row r="168" spans="2:19" ht="14" customHeight="1" thickBot="1" x14ac:dyDescent="0.2">
      <c r="B168" s="173" t="s">
        <v>12</v>
      </c>
      <c r="C168" s="174"/>
      <c r="D168" s="61">
        <f>IF(D21="","",D21)</f>
        <v>6.32</v>
      </c>
      <c r="E168" s="59">
        <f>IF(E21="",D168,E21)</f>
        <v>6.4</v>
      </c>
      <c r="F168" s="62">
        <f>IF(F21="","",F21)</f>
        <v>6.47</v>
      </c>
      <c r="G168" s="62">
        <f>IF(G21="",F168,G21)</f>
        <v>6.58</v>
      </c>
      <c r="H168" s="61">
        <f>IF(H21="","",H21)</f>
        <v>6.52</v>
      </c>
      <c r="I168" s="59">
        <f>IF(I21="",H168,I21)</f>
        <v>6.29</v>
      </c>
      <c r="J168" s="62">
        <f>IF(J21="","",J21)</f>
        <v>7.09</v>
      </c>
      <c r="K168" s="62">
        <f>IF(K21="",J168,K21)</f>
        <v>6.53</v>
      </c>
      <c r="L168" s="61">
        <f>IF(L21="","",L21)</f>
        <v>6.16</v>
      </c>
      <c r="M168" s="59">
        <f>IF(M21="",L168,M21)</f>
        <v>6.26</v>
      </c>
      <c r="N168" s="62">
        <f>IF(N21="","",N21)</f>
        <v>6.29</v>
      </c>
      <c r="O168" s="62">
        <f>IF(O21="",N168,O21)</f>
        <v>6.39</v>
      </c>
      <c r="P168" s="61">
        <f>IF(P21="","",P21)</f>
        <v>6.35</v>
      </c>
      <c r="Q168" s="59">
        <f>IF(Q21="",P168,Q21)</f>
        <v>6.47</v>
      </c>
      <c r="R168" s="62">
        <f>IF(R21="","",R21)</f>
        <v>6.18</v>
      </c>
      <c r="S168" s="63">
        <f>IF(S21="",R168,S21)</f>
        <v>6.34</v>
      </c>
    </row>
    <row r="172" spans="2:19" x14ac:dyDescent="0.15">
      <c r="B172" s="1"/>
      <c r="C172" s="1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</row>
  </sheetData>
  <mergeCells count="165">
    <mergeCell ref="B18:C18"/>
    <mergeCell ref="B19:C19"/>
    <mergeCell ref="B27:C27"/>
    <mergeCell ref="B42:S42"/>
    <mergeCell ref="B25:C25"/>
    <mergeCell ref="J43:K43"/>
    <mergeCell ref="B35:C35"/>
    <mergeCell ref="B29:C29"/>
    <mergeCell ref="B2:C2"/>
    <mergeCell ref="D2:J2"/>
    <mergeCell ref="B4:C4"/>
    <mergeCell ref="B14:C14"/>
    <mergeCell ref="B11:C11"/>
    <mergeCell ref="B12:C12"/>
    <mergeCell ref="B13:C13"/>
    <mergeCell ref="B7:C7"/>
    <mergeCell ref="B10:C10"/>
    <mergeCell ref="B8:C8"/>
    <mergeCell ref="B6:C6"/>
    <mergeCell ref="B23:C23"/>
    <mergeCell ref="B21:C21"/>
    <mergeCell ref="B15:C15"/>
    <mergeCell ref="B16:C16"/>
    <mergeCell ref="B17:C17"/>
    <mergeCell ref="L43:M43"/>
    <mergeCell ref="N43:O43"/>
    <mergeCell ref="P46:Q46"/>
    <mergeCell ref="R46:S46"/>
    <mergeCell ref="P43:Q43"/>
    <mergeCell ref="R43:S43"/>
    <mergeCell ref="H43:I43"/>
    <mergeCell ref="D43:E43"/>
    <mergeCell ref="F43:G43"/>
    <mergeCell ref="D46:E46"/>
    <mergeCell ref="D61:E61"/>
    <mergeCell ref="D64:E64"/>
    <mergeCell ref="D70:E70"/>
    <mergeCell ref="F70:G70"/>
    <mergeCell ref="H46:I46"/>
    <mergeCell ref="N64:O64"/>
    <mergeCell ref="D49:E49"/>
    <mergeCell ref="F49:G49"/>
    <mergeCell ref="N46:O46"/>
    <mergeCell ref="F64:G64"/>
    <mergeCell ref="J70:K70"/>
    <mergeCell ref="N70:O70"/>
    <mergeCell ref="H67:I67"/>
    <mergeCell ref="F67:G67"/>
    <mergeCell ref="D67:E67"/>
    <mergeCell ref="D55:E55"/>
    <mergeCell ref="D52:E52"/>
    <mergeCell ref="D58:E58"/>
    <mergeCell ref="F58:G58"/>
    <mergeCell ref="F61:G61"/>
    <mergeCell ref="F52:G52"/>
    <mergeCell ref="F55:G55"/>
    <mergeCell ref="P55:Q55"/>
    <mergeCell ref="N58:O58"/>
    <mergeCell ref="P61:Q61"/>
    <mergeCell ref="H52:I52"/>
    <mergeCell ref="J52:K52"/>
    <mergeCell ref="H49:I49"/>
    <mergeCell ref="J49:K49"/>
    <mergeCell ref="P49:Q49"/>
    <mergeCell ref="P52:Q52"/>
    <mergeCell ref="R55:S55"/>
    <mergeCell ref="H55:I55"/>
    <mergeCell ref="J55:K55"/>
    <mergeCell ref="L55:M55"/>
    <mergeCell ref="N55:O55"/>
    <mergeCell ref="L49:M49"/>
    <mergeCell ref="N49:O49"/>
    <mergeCell ref="R52:S52"/>
    <mergeCell ref="L52:M52"/>
    <mergeCell ref="N52:O52"/>
    <mergeCell ref="R49:S49"/>
    <mergeCell ref="R64:S64"/>
    <mergeCell ref="H64:I64"/>
    <mergeCell ref="J64:K64"/>
    <mergeCell ref="L64:M64"/>
    <mergeCell ref="R67:S67"/>
    <mergeCell ref="J67:K67"/>
    <mergeCell ref="R58:S58"/>
    <mergeCell ref="H58:I58"/>
    <mergeCell ref="J58:K58"/>
    <mergeCell ref="L58:M58"/>
    <mergeCell ref="R61:S61"/>
    <mergeCell ref="H61:I61"/>
    <mergeCell ref="J61:K61"/>
    <mergeCell ref="L61:M61"/>
    <mergeCell ref="N61:O61"/>
    <mergeCell ref="N67:O67"/>
    <mergeCell ref="P67:Q67"/>
    <mergeCell ref="L67:M67"/>
    <mergeCell ref="P58:Q58"/>
    <mergeCell ref="J46:K46"/>
    <mergeCell ref="L46:M46"/>
    <mergeCell ref="F46:G46"/>
    <mergeCell ref="H147:I147"/>
    <mergeCell ref="D140:S140"/>
    <mergeCell ref="D143:S143"/>
    <mergeCell ref="B116:S116"/>
    <mergeCell ref="B117:C120"/>
    <mergeCell ref="N123:O123"/>
    <mergeCell ref="F123:G123"/>
    <mergeCell ref="H123:I123"/>
    <mergeCell ref="D146:S146"/>
    <mergeCell ref="P123:Q123"/>
    <mergeCell ref="L147:M147"/>
    <mergeCell ref="N147:O147"/>
    <mergeCell ref="P147:Q147"/>
    <mergeCell ref="D122:S122"/>
    <mergeCell ref="D127:S127"/>
    <mergeCell ref="P70:Q70"/>
    <mergeCell ref="L123:M123"/>
    <mergeCell ref="D123:E123"/>
    <mergeCell ref="D147:E147"/>
    <mergeCell ref="F147:G147"/>
    <mergeCell ref="P64:Q64"/>
    <mergeCell ref="R123:S123"/>
    <mergeCell ref="D133:S133"/>
    <mergeCell ref="D136:S136"/>
    <mergeCell ref="L70:M70"/>
    <mergeCell ref="R70:S70"/>
    <mergeCell ref="J123:K123"/>
    <mergeCell ref="B74:S74"/>
    <mergeCell ref="H70:I70"/>
    <mergeCell ref="B157:C157"/>
    <mergeCell ref="B87:C90"/>
    <mergeCell ref="B91:C94"/>
    <mergeCell ref="B95:C98"/>
    <mergeCell ref="B79:C82"/>
    <mergeCell ref="B83:C86"/>
    <mergeCell ref="B111:C114"/>
    <mergeCell ref="B103:C106"/>
    <mergeCell ref="B107:C110"/>
    <mergeCell ref="B99:C102"/>
    <mergeCell ref="D151:S151"/>
    <mergeCell ref="R147:S147"/>
    <mergeCell ref="J147:K147"/>
    <mergeCell ref="B75:C78"/>
    <mergeCell ref="B70:C72"/>
    <mergeCell ref="B168:C168"/>
    <mergeCell ref="B33:C33"/>
    <mergeCell ref="B31:C31"/>
    <mergeCell ref="B164:C164"/>
    <mergeCell ref="B160:C160"/>
    <mergeCell ref="B166:C166"/>
    <mergeCell ref="B161:C161"/>
    <mergeCell ref="B162:C162"/>
    <mergeCell ref="B163:C163"/>
    <mergeCell ref="B165:C165"/>
    <mergeCell ref="B159:C159"/>
    <mergeCell ref="B158:C158"/>
    <mergeCell ref="B46:C48"/>
    <mergeCell ref="B49:C51"/>
    <mergeCell ref="B64:C66"/>
    <mergeCell ref="B61:C63"/>
    <mergeCell ref="B67:C69"/>
    <mergeCell ref="B37:C37"/>
    <mergeCell ref="B39:C39"/>
    <mergeCell ref="B43:C45"/>
    <mergeCell ref="B55:C57"/>
    <mergeCell ref="B58:C60"/>
    <mergeCell ref="B52:C54"/>
  </mergeCells>
  <phoneticPr fontId="0" type="noConversion"/>
  <printOptions horizontalCentered="1" verticalCentered="1"/>
  <pageMargins left="0.25" right="0.25" top="0.25" bottom="0.25" header="0.5" footer="0.5"/>
  <pageSetup scale="51" fitToHeight="3" orientation="landscape" horizontalDpi="4294967293"/>
  <headerFooter alignWithMargins="0"/>
  <rowBreaks count="2" manualBreakCount="2">
    <brk id="40" min="1" max="18" man="1"/>
    <brk id="120" min="1" max="18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C1:R241"/>
  <sheetViews>
    <sheetView view="pageBreakPreview" zoomScaleNormal="100" zoomScaleSheetLayoutView="100" workbookViewId="0">
      <selection activeCell="W9" sqref="W9"/>
    </sheetView>
  </sheetViews>
  <sheetFormatPr baseColWidth="10" defaultColWidth="8.83203125" defaultRowHeight="13" x14ac:dyDescent="0.15"/>
  <cols>
    <col min="1" max="1" width="1.6640625" customWidth="1"/>
    <col min="2" max="2" width="6.33203125" customWidth="1"/>
    <col min="3" max="3" width="6.83203125" style="1" customWidth="1"/>
    <col min="4" max="4" width="7" style="1" customWidth="1"/>
    <col min="5" max="5" width="6.83203125" style="1" customWidth="1"/>
    <col min="6" max="6" width="7" style="1" customWidth="1"/>
    <col min="7" max="7" width="6.83203125" style="1" customWidth="1"/>
    <col min="8" max="8" width="7" style="1" customWidth="1"/>
    <col min="9" max="9" width="6.83203125" style="1" customWidth="1"/>
    <col min="10" max="10" width="7" style="1" customWidth="1"/>
    <col min="11" max="12" width="6.83203125" style="1" customWidth="1"/>
    <col min="13" max="13" width="7" style="1" customWidth="1"/>
    <col min="14" max="14" width="6.83203125" style="1" customWidth="1"/>
    <col min="15" max="15" width="7" style="1" customWidth="1"/>
    <col min="16" max="16" width="6.83203125" style="1" customWidth="1"/>
    <col min="17" max="17" width="7" style="1" customWidth="1"/>
    <col min="18" max="18" width="6.83203125" style="1" customWidth="1"/>
    <col min="19" max="19" width="1.6640625" customWidth="1"/>
  </cols>
  <sheetData>
    <row r="1" ht="12.75" customHeight="1" x14ac:dyDescent="0.15"/>
    <row r="2" ht="12.75" customHeight="1" x14ac:dyDescent="0.15"/>
    <row r="3" ht="12.75" customHeight="1" x14ac:dyDescent="0.15"/>
    <row r="4" ht="12.75" customHeight="1" x14ac:dyDescent="0.15"/>
    <row r="5" ht="12.75" customHeight="1" x14ac:dyDescent="0.15"/>
    <row r="6" ht="12.75" customHeight="1" x14ac:dyDescent="0.15"/>
    <row r="7" ht="12.75" customHeight="1" x14ac:dyDescent="0.15"/>
    <row r="8" ht="12.75" customHeight="1" x14ac:dyDescent="0.15"/>
    <row r="9" ht="12.75" customHeight="1" x14ac:dyDescent="0.15"/>
    <row r="10" ht="12.75" customHeight="1" x14ac:dyDescent="0.15"/>
    <row r="11" ht="12.75" customHeight="1" x14ac:dyDescent="0.15"/>
    <row r="12" ht="12.75" customHeight="1" x14ac:dyDescent="0.15"/>
    <row r="13" ht="12.75" customHeight="1" x14ac:dyDescent="0.15"/>
    <row r="14" ht="12.75" customHeight="1" x14ac:dyDescent="0.15"/>
    <row r="15" ht="12.75" customHeight="1" x14ac:dyDescent="0.15"/>
    <row r="16" ht="12.75" customHeight="1" x14ac:dyDescent="0.15"/>
    <row r="17" ht="12.75" customHeight="1" x14ac:dyDescent="0.15"/>
    <row r="18" ht="12.75" customHeight="1" x14ac:dyDescent="0.15"/>
    <row r="19" ht="12.75" customHeight="1" x14ac:dyDescent="0.15"/>
    <row r="20" ht="12.75" customHeight="1" x14ac:dyDescent="0.15"/>
    <row r="21" ht="12.75" customHeight="1" x14ac:dyDescent="0.15"/>
    <row r="22" ht="12.75" customHeight="1" x14ac:dyDescent="0.15"/>
    <row r="23" ht="12.75" customHeight="1" x14ac:dyDescent="0.15"/>
    <row r="24" ht="12.75" customHeight="1" x14ac:dyDescent="0.15"/>
    <row r="25" ht="12.75" customHeight="1" x14ac:dyDescent="0.15"/>
    <row r="26" ht="12.75" customHeight="1" x14ac:dyDescent="0.15"/>
    <row r="27" ht="12.75" customHeight="1" x14ac:dyDescent="0.15"/>
    <row r="28" ht="12.75" customHeight="1" x14ac:dyDescent="0.15"/>
    <row r="29" ht="12.75" customHeight="1" x14ac:dyDescent="0.15"/>
    <row r="30" ht="12.75" customHeight="1" x14ac:dyDescent="0.15"/>
    <row r="31" ht="12.75" customHeight="1" x14ac:dyDescent="0.15"/>
    <row r="32" ht="12.75" customHeight="1" x14ac:dyDescent="0.15"/>
    <row r="33" ht="12.75" customHeight="1" x14ac:dyDescent="0.15"/>
    <row r="34" ht="12.75" customHeight="1" x14ac:dyDescent="0.15"/>
    <row r="35" ht="12.75" customHeight="1" x14ac:dyDescent="0.15"/>
    <row r="36" ht="12.75" customHeight="1" x14ac:dyDescent="0.15"/>
    <row r="37" ht="12.75" customHeight="1" x14ac:dyDescent="0.15"/>
    <row r="38" ht="12.75" customHeight="1" x14ac:dyDescent="0.15"/>
    <row r="39" ht="12.75" customHeight="1" x14ac:dyDescent="0.15"/>
    <row r="40" ht="12.75" customHeight="1" x14ac:dyDescent="0.15"/>
    <row r="41" ht="12.75" customHeight="1" x14ac:dyDescent="0.15"/>
    <row r="42" ht="12.75" customHeight="1" x14ac:dyDescent="0.15"/>
    <row r="43" ht="12.75" customHeight="1" x14ac:dyDescent="0.15"/>
    <row r="44" ht="12.75" customHeight="1" x14ac:dyDescent="0.15"/>
    <row r="45" ht="12.75" customHeight="1" x14ac:dyDescent="0.15"/>
    <row r="46" ht="12.75" customHeight="1" x14ac:dyDescent="0.15"/>
    <row r="47" ht="12.75" customHeight="1" x14ac:dyDescent="0.15"/>
    <row r="48" ht="12.75" customHeight="1" x14ac:dyDescent="0.15"/>
    <row r="49" ht="12.75" customHeight="1" x14ac:dyDescent="0.15"/>
    <row r="50" ht="12.75" customHeight="1" x14ac:dyDescent="0.15"/>
    <row r="51" ht="12.75" customHeight="1" x14ac:dyDescent="0.15"/>
    <row r="52" ht="12.75" customHeight="1" x14ac:dyDescent="0.15"/>
    <row r="53" ht="12.75" customHeight="1" x14ac:dyDescent="0.15"/>
    <row r="54" ht="12.75" customHeight="1" x14ac:dyDescent="0.15"/>
    <row r="55" ht="12.75" customHeight="1" x14ac:dyDescent="0.15"/>
    <row r="56" ht="12.75" customHeight="1" x14ac:dyDescent="0.15"/>
    <row r="57" ht="12.75" customHeight="1" x14ac:dyDescent="0.15"/>
    <row r="58" ht="12.75" customHeight="1" x14ac:dyDescent="0.15"/>
    <row r="59" ht="12.75" customHeight="1" x14ac:dyDescent="0.15"/>
    <row r="60" ht="12.75" customHeight="1" x14ac:dyDescent="0.15"/>
    <row r="61" ht="12.75" customHeight="1" x14ac:dyDescent="0.15"/>
    <row r="62" ht="12.75" customHeight="1" x14ac:dyDescent="0.15"/>
    <row r="63" ht="12.75" customHeight="1" x14ac:dyDescent="0.15"/>
    <row r="64" ht="12.75" customHeight="1" x14ac:dyDescent="0.15"/>
    <row r="65" ht="12.75" customHeight="1" x14ac:dyDescent="0.15"/>
    <row r="66" ht="12.75" customHeight="1" x14ac:dyDescent="0.15"/>
    <row r="67" ht="12.75" customHeight="1" x14ac:dyDescent="0.15"/>
    <row r="68" ht="12.75" customHeight="1" x14ac:dyDescent="0.15"/>
    <row r="69" ht="12.75" customHeight="1" x14ac:dyDescent="0.15"/>
    <row r="70" ht="12.75" customHeight="1" x14ac:dyDescent="0.15"/>
    <row r="71" ht="12.75" customHeight="1" x14ac:dyDescent="0.15"/>
    <row r="72" ht="12.75" customHeight="1" x14ac:dyDescent="0.15"/>
    <row r="73" ht="12.75" customHeight="1" x14ac:dyDescent="0.15"/>
    <row r="74" ht="12.75" customHeight="1" x14ac:dyDescent="0.15"/>
    <row r="75" ht="12.75" customHeight="1" x14ac:dyDescent="0.15"/>
    <row r="76" ht="12.75" customHeight="1" x14ac:dyDescent="0.15"/>
    <row r="77" ht="12.75" customHeight="1" x14ac:dyDescent="0.15"/>
    <row r="78" ht="12.75" customHeight="1" x14ac:dyDescent="0.15"/>
    <row r="79" ht="12.75" customHeight="1" x14ac:dyDescent="0.15"/>
    <row r="80" ht="12.75" customHeight="1" x14ac:dyDescent="0.15"/>
    <row r="81" ht="12.75" customHeight="1" x14ac:dyDescent="0.15"/>
    <row r="82" ht="12.75" customHeight="1" x14ac:dyDescent="0.15"/>
    <row r="83" ht="12.75" customHeight="1" x14ac:dyDescent="0.15"/>
    <row r="84" ht="12.75" customHeight="1" x14ac:dyDescent="0.15"/>
    <row r="85" ht="12.75" customHeight="1" x14ac:dyDescent="0.15"/>
    <row r="86" ht="12.75" customHeight="1" x14ac:dyDescent="0.15"/>
    <row r="87" ht="12.75" customHeight="1" x14ac:dyDescent="0.15"/>
    <row r="88" ht="12.75" customHeight="1" x14ac:dyDescent="0.15"/>
    <row r="89" ht="12.75" customHeight="1" x14ac:dyDescent="0.15"/>
    <row r="90" ht="12.75" customHeight="1" x14ac:dyDescent="0.15"/>
    <row r="91" ht="12.75" customHeight="1" x14ac:dyDescent="0.15"/>
    <row r="92" ht="12.75" customHeight="1" x14ac:dyDescent="0.15"/>
    <row r="93" ht="12.75" customHeight="1" x14ac:dyDescent="0.15"/>
    <row r="94" ht="12.75" customHeight="1" x14ac:dyDescent="0.15"/>
    <row r="95" ht="12.75" customHeight="1" x14ac:dyDescent="0.15"/>
    <row r="96" ht="12.75" customHeight="1" x14ac:dyDescent="0.15"/>
    <row r="97" ht="12.75" customHeight="1" x14ac:dyDescent="0.15"/>
    <row r="98" ht="12.75" customHeight="1" x14ac:dyDescent="0.15"/>
    <row r="99" ht="12.75" customHeight="1" x14ac:dyDescent="0.15"/>
    <row r="100" ht="12.75" customHeight="1" x14ac:dyDescent="0.15"/>
    <row r="101" ht="12.75" customHeight="1" x14ac:dyDescent="0.15"/>
    <row r="102" ht="12.75" customHeight="1" x14ac:dyDescent="0.15"/>
    <row r="103" ht="12.75" customHeight="1" x14ac:dyDescent="0.15"/>
    <row r="104" ht="12.75" customHeight="1" x14ac:dyDescent="0.15"/>
    <row r="105" ht="12.75" customHeight="1" x14ac:dyDescent="0.15"/>
    <row r="106" ht="12.75" customHeight="1" x14ac:dyDescent="0.15"/>
    <row r="107" ht="12.75" customHeight="1" x14ac:dyDescent="0.15"/>
    <row r="108" ht="12.75" customHeight="1" x14ac:dyDescent="0.15"/>
    <row r="109" ht="12.75" customHeight="1" x14ac:dyDescent="0.15"/>
    <row r="110" ht="12.75" customHeight="1" x14ac:dyDescent="0.15"/>
    <row r="111" ht="12.75" customHeight="1" x14ac:dyDescent="0.15"/>
    <row r="112" ht="12.75" customHeight="1" x14ac:dyDescent="0.15"/>
    <row r="113" ht="12.75" customHeight="1" x14ac:dyDescent="0.15"/>
    <row r="114" ht="12.75" customHeight="1" x14ac:dyDescent="0.15"/>
    <row r="115" ht="12.75" customHeight="1" x14ac:dyDescent="0.15"/>
    <row r="116" ht="12.75" customHeight="1" x14ac:dyDescent="0.15"/>
    <row r="117" ht="12.75" customHeight="1" x14ac:dyDescent="0.15"/>
    <row r="118" ht="12.75" customHeight="1" x14ac:dyDescent="0.15"/>
    <row r="119" ht="12.75" customHeight="1" x14ac:dyDescent="0.15"/>
    <row r="120" ht="12.75" customHeight="1" x14ac:dyDescent="0.15"/>
    <row r="121" ht="12.75" customHeight="1" x14ac:dyDescent="0.15"/>
    <row r="122" ht="12.75" customHeight="1" x14ac:dyDescent="0.15"/>
    <row r="123" ht="12.75" customHeight="1" x14ac:dyDescent="0.15"/>
    <row r="124" ht="12.75" customHeight="1" x14ac:dyDescent="0.15"/>
    <row r="125" ht="12.75" customHeight="1" x14ac:dyDescent="0.15"/>
    <row r="126" ht="12.75" customHeight="1" x14ac:dyDescent="0.15"/>
    <row r="127" ht="12.75" customHeight="1" x14ac:dyDescent="0.15"/>
    <row r="128" ht="12.75" customHeight="1" x14ac:dyDescent="0.15"/>
    <row r="129" ht="12.75" customHeight="1" x14ac:dyDescent="0.15"/>
    <row r="130" ht="12.75" customHeight="1" x14ac:dyDescent="0.15"/>
    <row r="131" ht="12.75" customHeight="1" x14ac:dyDescent="0.15"/>
    <row r="132" ht="12.75" customHeight="1" x14ac:dyDescent="0.15"/>
    <row r="133" ht="12.75" customHeight="1" x14ac:dyDescent="0.15"/>
    <row r="134" ht="12.75" customHeight="1" x14ac:dyDescent="0.15"/>
    <row r="135" ht="12.75" customHeight="1" x14ac:dyDescent="0.15"/>
    <row r="136" ht="12.75" customHeight="1" x14ac:dyDescent="0.15"/>
    <row r="137" ht="12.75" customHeight="1" x14ac:dyDescent="0.15"/>
    <row r="138" ht="12.75" customHeight="1" x14ac:dyDescent="0.15"/>
    <row r="139" ht="12.75" customHeight="1" x14ac:dyDescent="0.15"/>
    <row r="140" ht="12.75" customHeight="1" x14ac:dyDescent="0.15"/>
    <row r="141" ht="12.75" customHeight="1" x14ac:dyDescent="0.15"/>
    <row r="142" ht="12.75" customHeight="1" x14ac:dyDescent="0.15"/>
    <row r="143" ht="12.75" customHeight="1" x14ac:dyDescent="0.15"/>
    <row r="144" ht="12.75" customHeight="1" x14ac:dyDescent="0.15"/>
    <row r="145" ht="12.75" customHeight="1" x14ac:dyDescent="0.15"/>
    <row r="146" ht="12.75" customHeight="1" x14ac:dyDescent="0.15"/>
    <row r="147" ht="12.75" customHeight="1" x14ac:dyDescent="0.15"/>
    <row r="148" ht="12.75" customHeight="1" x14ac:dyDescent="0.15"/>
    <row r="149" ht="12.75" customHeight="1" x14ac:dyDescent="0.15"/>
    <row r="150" ht="12.75" customHeight="1" x14ac:dyDescent="0.15"/>
    <row r="151" ht="12.75" customHeight="1" x14ac:dyDescent="0.15"/>
    <row r="152" ht="12.75" customHeight="1" x14ac:dyDescent="0.15"/>
    <row r="153" ht="12.75" customHeight="1" x14ac:dyDescent="0.15"/>
    <row r="154" ht="12.75" customHeight="1" x14ac:dyDescent="0.15"/>
    <row r="155" ht="12.75" customHeight="1" x14ac:dyDescent="0.15"/>
    <row r="156" ht="12.75" customHeight="1" x14ac:dyDescent="0.15"/>
    <row r="157" ht="12.75" customHeight="1" x14ac:dyDescent="0.15"/>
    <row r="158" ht="12.75" customHeight="1" x14ac:dyDescent="0.15"/>
    <row r="159" ht="12.75" customHeight="1" x14ac:dyDescent="0.15"/>
    <row r="160" ht="12.75" customHeight="1" x14ac:dyDescent="0.15"/>
    <row r="161" ht="12.75" customHeight="1" x14ac:dyDescent="0.15"/>
    <row r="241" ht="10" customHeight="1" x14ac:dyDescent="0.15"/>
  </sheetData>
  <phoneticPr fontId="0" type="noConversion"/>
  <printOptions horizontalCentered="1" verticalCentered="1"/>
  <pageMargins left="0.25" right="0.25" top="0" bottom="0" header="0" footer="0"/>
  <pageSetup scale="76" fitToHeight="3" orientation="portrait" horizontalDpi="4294967293"/>
  <headerFooter alignWithMargins="0">
    <oddHeader>&amp;R&amp;K000000&amp;P of &amp;N
Woodward Executive No. V009A
P-401-8.1 PG 67-22</oddHeader>
  </headerFooter>
  <rowBreaks count="2" manualBreakCount="2">
    <brk id="79" min="1" max="18" man="1"/>
    <brk id="151" min="1" max="18" man="1"/>
  </rowBreak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3:X29"/>
  <sheetViews>
    <sheetView zoomScaleNormal="100" workbookViewId="0">
      <selection activeCell="G28" sqref="G28"/>
    </sheetView>
  </sheetViews>
  <sheetFormatPr baseColWidth="10" defaultColWidth="9.1640625" defaultRowHeight="13" x14ac:dyDescent="0.15"/>
  <cols>
    <col min="1" max="1" width="6.6640625" style="1" customWidth="1"/>
    <col min="2" max="19" width="9.1640625" style="1"/>
    <col min="20" max="20" width="2" style="1" customWidth="1"/>
    <col min="21" max="21" width="4.6640625" style="1" customWidth="1"/>
    <col min="22" max="22" width="2.5" style="1" customWidth="1"/>
    <col min="23" max="23" width="4.6640625" style="1" customWidth="1"/>
    <col min="24" max="24" width="3" style="1" customWidth="1"/>
    <col min="25" max="16384" width="9.1640625" style="1"/>
  </cols>
  <sheetData>
    <row r="3" spans="2:20" ht="14" thickBot="1" x14ac:dyDescent="0.2"/>
    <row r="4" spans="2:20" ht="14" thickBot="1" x14ac:dyDescent="0.2">
      <c r="E4" s="192" t="s">
        <v>17</v>
      </c>
      <c r="F4" s="216"/>
      <c r="G4" s="193"/>
      <c r="H4" s="192" t="s">
        <v>20</v>
      </c>
      <c r="I4" s="216"/>
      <c r="J4" s="216"/>
      <c r="K4" s="216"/>
      <c r="L4" s="216"/>
      <c r="M4" s="216"/>
      <c r="N4" s="216"/>
      <c r="O4" s="216"/>
      <c r="P4" s="193"/>
      <c r="Q4" s="192" t="s">
        <v>81</v>
      </c>
      <c r="R4" s="216"/>
      <c r="S4" s="193"/>
    </row>
    <row r="5" spans="2:20" ht="14" thickBot="1" x14ac:dyDescent="0.2">
      <c r="D5" s="33" t="s">
        <v>1</v>
      </c>
      <c r="E5" s="34" t="s">
        <v>21</v>
      </c>
      <c r="F5" s="30" t="s">
        <v>18</v>
      </c>
      <c r="G5" s="35" t="s">
        <v>19</v>
      </c>
      <c r="H5" s="34" t="s">
        <v>65</v>
      </c>
      <c r="I5" s="34" t="s">
        <v>66</v>
      </c>
      <c r="J5" s="34" t="s">
        <v>67</v>
      </c>
      <c r="K5" s="30" t="s">
        <v>72</v>
      </c>
      <c r="L5" s="30" t="s">
        <v>73</v>
      </c>
      <c r="M5" s="30" t="s">
        <v>74</v>
      </c>
      <c r="N5" s="30" t="s">
        <v>75</v>
      </c>
      <c r="O5" s="30" t="s">
        <v>76</v>
      </c>
      <c r="P5" s="35" t="s">
        <v>77</v>
      </c>
      <c r="Q5" s="30" t="s">
        <v>78</v>
      </c>
      <c r="R5" s="30" t="s">
        <v>79</v>
      </c>
      <c r="S5" s="35" t="s">
        <v>80</v>
      </c>
      <c r="T5" s="14"/>
    </row>
    <row r="6" spans="2:20" x14ac:dyDescent="0.15">
      <c r="B6" s="190" t="s">
        <v>2</v>
      </c>
      <c r="C6" s="227"/>
      <c r="D6" s="36">
        <v>100</v>
      </c>
      <c r="E6" s="39">
        <v>6</v>
      </c>
      <c r="F6" s="54">
        <f>IF(OR(E6="",$D6=""),"",$D6-E6)</f>
        <v>94</v>
      </c>
      <c r="G6" s="55">
        <v>100</v>
      </c>
      <c r="H6" s="39">
        <v>9</v>
      </c>
      <c r="I6" s="39">
        <f>H6*D$21</f>
        <v>10.62</v>
      </c>
      <c r="J6" s="39">
        <f>H6*D$22</f>
        <v>11.43</v>
      </c>
      <c r="K6" s="54">
        <f t="shared" ref="K6:K18" si="0">IF(OR(H6="",$D6=""),"",$D6-H6)</f>
        <v>91</v>
      </c>
      <c r="L6" s="85">
        <f t="shared" ref="L6:L17" si="1">IF(K6="","",$D6+H6)</f>
        <v>109</v>
      </c>
      <c r="M6" s="54">
        <f>$D6-I6</f>
        <v>89.38</v>
      </c>
      <c r="N6" s="85">
        <f>IF(M6="","",$D6+I6)</f>
        <v>110.62</v>
      </c>
      <c r="O6" s="54">
        <f>$D6-J6</f>
        <v>88.57</v>
      </c>
      <c r="P6" s="85">
        <f>IF(O6="","",$D6+J6)</f>
        <v>111.43</v>
      </c>
      <c r="Q6" s="124"/>
      <c r="R6" s="124"/>
      <c r="S6" s="124"/>
      <c r="T6"/>
    </row>
    <row r="7" spans="2:20" x14ac:dyDescent="0.15">
      <c r="B7" s="177" t="s">
        <v>3</v>
      </c>
      <c r="C7" s="225"/>
      <c r="D7" s="37">
        <v>95</v>
      </c>
      <c r="E7" s="40">
        <v>6</v>
      </c>
      <c r="F7" s="56">
        <f t="shared" ref="F7:F17" si="2">IF(OR(E7="",$D7=""),"",$D7-E7)</f>
        <v>89</v>
      </c>
      <c r="G7" s="57">
        <f t="shared" ref="G7:G17" si="3">IF(F7="","",$D7+E7)</f>
        <v>101</v>
      </c>
      <c r="H7" s="40">
        <v>9</v>
      </c>
      <c r="I7" s="40">
        <f>H7*D$21</f>
        <v>10.62</v>
      </c>
      <c r="J7" s="40">
        <f>H7*D$22</f>
        <v>11.43</v>
      </c>
      <c r="K7" s="56">
        <f t="shared" si="0"/>
        <v>86</v>
      </c>
      <c r="L7" s="86">
        <f t="shared" si="1"/>
        <v>104</v>
      </c>
      <c r="M7" s="56">
        <f>$D7-I7</f>
        <v>84.38</v>
      </c>
      <c r="N7" s="86">
        <f>IF(M7="","",$D7+I7)</f>
        <v>105.62</v>
      </c>
      <c r="O7" s="56">
        <f>$D7-J7</f>
        <v>83.57</v>
      </c>
      <c r="P7" s="86">
        <f>IF(O7="","",$D7+J7)</f>
        <v>106.43</v>
      </c>
      <c r="Q7" s="88">
        <v>11</v>
      </c>
      <c r="R7" s="88"/>
      <c r="S7" s="88"/>
      <c r="T7"/>
    </row>
    <row r="8" spans="2:20" x14ac:dyDescent="0.15">
      <c r="B8" s="177" t="s">
        <v>4</v>
      </c>
      <c r="C8" s="225"/>
      <c r="D8" s="37">
        <v>86</v>
      </c>
      <c r="E8" s="40">
        <v>6</v>
      </c>
      <c r="F8" s="56">
        <f t="shared" si="2"/>
        <v>80</v>
      </c>
      <c r="G8" s="57">
        <f t="shared" si="3"/>
        <v>92</v>
      </c>
      <c r="H8" s="40">
        <v>9</v>
      </c>
      <c r="I8" s="40">
        <f>H8*D$21</f>
        <v>10.62</v>
      </c>
      <c r="J8" s="40">
        <f>H8*D$22</f>
        <v>11.43</v>
      </c>
      <c r="K8" s="56">
        <f t="shared" si="0"/>
        <v>77</v>
      </c>
      <c r="L8" s="86">
        <f t="shared" si="1"/>
        <v>95</v>
      </c>
      <c r="M8" s="56">
        <f>$D8-I8</f>
        <v>75.38</v>
      </c>
      <c r="N8" s="86">
        <f>IF(M8="","",$D8+I8)</f>
        <v>96.62</v>
      </c>
      <c r="O8" s="56">
        <f>$D8-J8</f>
        <v>74.569999999999993</v>
      </c>
      <c r="P8" s="86">
        <f>IF(O8="","",$D8+J8)</f>
        <v>97.43</v>
      </c>
      <c r="Q8" s="88">
        <v>11</v>
      </c>
      <c r="R8" s="88"/>
      <c r="S8" s="88"/>
      <c r="T8"/>
    </row>
    <row r="9" spans="2:20" x14ac:dyDescent="0.15">
      <c r="B9" s="177" t="s">
        <v>5</v>
      </c>
      <c r="C9" s="225"/>
      <c r="D9" s="37">
        <v>68</v>
      </c>
      <c r="E9" s="40">
        <v>6</v>
      </c>
      <c r="F9" s="56">
        <f t="shared" si="2"/>
        <v>62</v>
      </c>
      <c r="G9" s="57">
        <f t="shared" si="3"/>
        <v>74</v>
      </c>
      <c r="H9" s="40">
        <v>9</v>
      </c>
      <c r="I9" s="40">
        <f>H9*D$21</f>
        <v>10.62</v>
      </c>
      <c r="J9" s="40">
        <f>H9*D$22</f>
        <v>11.43</v>
      </c>
      <c r="K9" s="56">
        <f t="shared" si="0"/>
        <v>59</v>
      </c>
      <c r="L9" s="86">
        <f t="shared" si="1"/>
        <v>77</v>
      </c>
      <c r="M9" s="56">
        <f>$D9-I9</f>
        <v>57.38</v>
      </c>
      <c r="N9" s="86">
        <f>IF(M9="","",$D9+I9)</f>
        <v>78.62</v>
      </c>
      <c r="O9" s="56">
        <f>$D9-J9</f>
        <v>56.57</v>
      </c>
      <c r="P9" s="86">
        <f>IF(O9="","",$D9+J9)</f>
        <v>79.430000000000007</v>
      </c>
      <c r="Q9" s="88">
        <v>11</v>
      </c>
      <c r="R9" s="88"/>
      <c r="S9" s="88"/>
      <c r="T9"/>
    </row>
    <row r="10" spans="2:20" x14ac:dyDescent="0.15">
      <c r="B10" s="177" t="s">
        <v>6</v>
      </c>
      <c r="C10" s="225"/>
      <c r="D10" s="37">
        <v>44</v>
      </c>
      <c r="E10" s="40"/>
      <c r="F10" s="56" t="str">
        <f t="shared" si="2"/>
        <v/>
      </c>
      <c r="G10" s="57" t="str">
        <f t="shared" si="3"/>
        <v/>
      </c>
      <c r="H10" s="40"/>
      <c r="I10" s="40"/>
      <c r="J10" s="40"/>
      <c r="K10" s="56" t="str">
        <f t="shared" si="0"/>
        <v/>
      </c>
      <c r="L10" s="86" t="str">
        <f t="shared" si="1"/>
        <v/>
      </c>
      <c r="M10" s="56" t="str">
        <f>IF(OR(J10="",$D10=""),"",$D10-J10)</f>
        <v/>
      </c>
      <c r="N10" s="86" t="str">
        <f>IF(M10="","",$D10+J10)</f>
        <v/>
      </c>
      <c r="O10" s="56" t="str">
        <f>IF(OR(L10="",$D10=""),"",$D10-L10)</f>
        <v/>
      </c>
      <c r="P10" s="86" t="str">
        <f>IF(O10="","",$D10+L10)</f>
        <v/>
      </c>
      <c r="Q10" s="88"/>
      <c r="R10" s="88"/>
      <c r="S10" s="88"/>
      <c r="T10"/>
    </row>
    <row r="11" spans="2:20" x14ac:dyDescent="0.15">
      <c r="B11" s="177" t="s">
        <v>7</v>
      </c>
      <c r="C11" s="225"/>
      <c r="D11" s="37">
        <v>34</v>
      </c>
      <c r="E11" s="40">
        <v>5</v>
      </c>
      <c r="F11" s="56">
        <f t="shared" si="2"/>
        <v>29</v>
      </c>
      <c r="G11" s="57">
        <f t="shared" si="3"/>
        <v>39</v>
      </c>
      <c r="H11" s="40">
        <v>7.5</v>
      </c>
      <c r="I11" s="40">
        <f>H11*D$21</f>
        <v>8.85</v>
      </c>
      <c r="J11" s="40">
        <f>H11*D$22</f>
        <v>9.5250000000000004</v>
      </c>
      <c r="K11" s="56">
        <f t="shared" si="0"/>
        <v>26.5</v>
      </c>
      <c r="L11" s="86">
        <f t="shared" si="1"/>
        <v>41.5</v>
      </c>
      <c r="M11" s="56">
        <f>$D11-I11</f>
        <v>25.15</v>
      </c>
      <c r="N11" s="86">
        <f>IF(M11="","",$D11+I11)</f>
        <v>42.85</v>
      </c>
      <c r="O11" s="56">
        <f>$D11-J11</f>
        <v>24.475000000000001</v>
      </c>
      <c r="P11" s="86">
        <f>IF(O11="","",$D11+J11)</f>
        <v>43.524999999999999</v>
      </c>
      <c r="Q11" s="88">
        <v>9</v>
      </c>
      <c r="R11" s="88"/>
      <c r="S11" s="88"/>
      <c r="T11"/>
    </row>
    <row r="12" spans="2:20" x14ac:dyDescent="0.15">
      <c r="B12" s="177" t="s">
        <v>8</v>
      </c>
      <c r="C12" s="225"/>
      <c r="D12" s="37">
        <v>27</v>
      </c>
      <c r="E12" s="40"/>
      <c r="F12" s="56" t="str">
        <f t="shared" si="2"/>
        <v/>
      </c>
      <c r="G12" s="57" t="str">
        <f t="shared" si="3"/>
        <v/>
      </c>
      <c r="H12" s="40"/>
      <c r="I12" s="40"/>
      <c r="J12" s="40"/>
      <c r="K12" s="56" t="str">
        <f t="shared" si="0"/>
        <v/>
      </c>
      <c r="L12" s="86" t="str">
        <f t="shared" si="1"/>
        <v/>
      </c>
      <c r="M12" s="56" t="str">
        <f>IF(OR(J12="",$D12=""),"",$D12-J12)</f>
        <v/>
      </c>
      <c r="N12" s="86" t="str">
        <f>IF(M12="","",$D12+J12)</f>
        <v/>
      </c>
      <c r="O12" s="56" t="str">
        <f>IF(OR(L12="",$D12=""),"",$D12-L12)</f>
        <v/>
      </c>
      <c r="P12" s="86" t="str">
        <f>IF(O12="","",$D12+L12)</f>
        <v/>
      </c>
      <c r="Q12" s="88"/>
      <c r="R12" s="88"/>
      <c r="S12" s="88"/>
      <c r="T12"/>
    </row>
    <row r="13" spans="2:20" x14ac:dyDescent="0.15">
      <c r="B13" s="177" t="s">
        <v>9</v>
      </c>
      <c r="C13" s="225"/>
      <c r="D13" s="37">
        <v>19</v>
      </c>
      <c r="E13" s="40">
        <v>3</v>
      </c>
      <c r="F13" s="56">
        <f t="shared" si="2"/>
        <v>16</v>
      </c>
      <c r="G13" s="57">
        <f t="shared" si="3"/>
        <v>22</v>
      </c>
      <c r="H13" s="40">
        <v>4.5</v>
      </c>
      <c r="I13" s="40">
        <f>H13*D$21</f>
        <v>5.31</v>
      </c>
      <c r="J13" s="40">
        <f>H13*D$22</f>
        <v>5.7149999999999999</v>
      </c>
      <c r="K13" s="56">
        <f t="shared" si="0"/>
        <v>14.5</v>
      </c>
      <c r="L13" s="86">
        <f t="shared" si="1"/>
        <v>23.5</v>
      </c>
      <c r="M13" s="56">
        <f>$D13-I13</f>
        <v>13.690000000000001</v>
      </c>
      <c r="N13" s="86">
        <f>IF(M13="","",$D13+I13)</f>
        <v>24.31</v>
      </c>
      <c r="O13" s="56">
        <f>$D13-J13</f>
        <v>13.285</v>
      </c>
      <c r="P13" s="86">
        <f>IF(O13="","",$D13+J13)</f>
        <v>24.715</v>
      </c>
      <c r="Q13" s="88">
        <v>6</v>
      </c>
      <c r="R13" s="88"/>
      <c r="S13" s="88"/>
      <c r="T13"/>
    </row>
    <row r="14" spans="2:20" x14ac:dyDescent="0.15">
      <c r="B14" s="177" t="s">
        <v>10</v>
      </c>
      <c r="C14" s="225"/>
      <c r="D14" s="37">
        <v>6</v>
      </c>
      <c r="E14" s="40"/>
      <c r="F14" s="56" t="str">
        <f t="shared" si="2"/>
        <v/>
      </c>
      <c r="G14" s="57" t="str">
        <f t="shared" si="3"/>
        <v/>
      </c>
      <c r="H14" s="40"/>
      <c r="I14" s="40"/>
      <c r="J14" s="40"/>
      <c r="K14" s="56" t="str">
        <f t="shared" si="0"/>
        <v/>
      </c>
      <c r="L14" s="86" t="str">
        <f t="shared" si="1"/>
        <v/>
      </c>
      <c r="M14" s="56" t="str">
        <f>IF(OR(J14="",$D14=""),"",$D14-J14)</f>
        <v/>
      </c>
      <c r="N14" s="86" t="str">
        <f>IF(M14="","",$D14+J14)</f>
        <v/>
      </c>
      <c r="O14" s="56" t="str">
        <f>IF(OR(L14="",$D14=""),"",$D14-L14)</f>
        <v/>
      </c>
      <c r="P14" s="86" t="str">
        <f>IF(O14="","",$D14+L14)</f>
        <v/>
      </c>
      <c r="Q14" s="88"/>
      <c r="R14" s="88"/>
      <c r="S14" s="88"/>
      <c r="T14"/>
    </row>
    <row r="15" spans="2:20" ht="14" thickBot="1" x14ac:dyDescent="0.2">
      <c r="B15" s="179" t="s">
        <v>11</v>
      </c>
      <c r="C15" s="226"/>
      <c r="D15" s="38">
        <v>3.1</v>
      </c>
      <c r="E15" s="38">
        <v>2</v>
      </c>
      <c r="F15" s="6">
        <f t="shared" si="2"/>
        <v>1.1000000000000001</v>
      </c>
      <c r="G15" s="13">
        <f t="shared" si="3"/>
        <v>5.0999999999999996</v>
      </c>
      <c r="H15" s="38">
        <v>3</v>
      </c>
      <c r="I15" s="38">
        <f>H15*D$21</f>
        <v>3.54</v>
      </c>
      <c r="J15" s="38">
        <f>H15*D$22</f>
        <v>3.81</v>
      </c>
      <c r="K15" s="6">
        <f t="shared" si="0"/>
        <v>0.10000000000000009</v>
      </c>
      <c r="L15" s="7">
        <f t="shared" si="1"/>
        <v>6.1</v>
      </c>
      <c r="M15" s="6">
        <f>$D15-I15</f>
        <v>-0.43999999999999995</v>
      </c>
      <c r="N15" s="7">
        <f>IF(M15="","",$D15+I15)</f>
        <v>6.6400000000000006</v>
      </c>
      <c r="O15" s="6">
        <f>$D15-J15</f>
        <v>-0.71</v>
      </c>
      <c r="P15" s="7">
        <f>IF(O15="","",$D15+J15)</f>
        <v>6.91</v>
      </c>
      <c r="Q15" s="122">
        <v>3.5</v>
      </c>
      <c r="R15" s="122"/>
      <c r="S15" s="122"/>
      <c r="T15"/>
    </row>
    <row r="16" spans="2:20" ht="14" thickBot="1" x14ac:dyDescent="0.2">
      <c r="B16" s="183" t="s">
        <v>12</v>
      </c>
      <c r="C16" s="185"/>
      <c r="D16" s="69">
        <v>6.7</v>
      </c>
      <c r="E16" s="68">
        <v>0.45</v>
      </c>
      <c r="F16" s="64">
        <f t="shared" si="2"/>
        <v>6.25</v>
      </c>
      <c r="G16" s="78">
        <f t="shared" si="3"/>
        <v>7.15</v>
      </c>
      <c r="H16" s="68">
        <v>0.7</v>
      </c>
      <c r="I16" s="68">
        <f>H16*D$21</f>
        <v>0.82599999999999996</v>
      </c>
      <c r="J16" s="68">
        <f>H16*D$22</f>
        <v>0.8889999999999999</v>
      </c>
      <c r="K16" s="64">
        <f t="shared" si="0"/>
        <v>6</v>
      </c>
      <c r="L16" s="60">
        <f t="shared" si="1"/>
        <v>7.4</v>
      </c>
      <c r="M16" s="64">
        <f>$D16-I16</f>
        <v>5.8740000000000006</v>
      </c>
      <c r="N16" s="60">
        <f>IF(M16="","",$D16+I16)</f>
        <v>7.5259999999999998</v>
      </c>
      <c r="O16" s="64">
        <f>$D16-J16</f>
        <v>5.8109999999999999</v>
      </c>
      <c r="P16" s="60">
        <f>IF(O16="","",$D16+J16)</f>
        <v>7.5890000000000004</v>
      </c>
      <c r="Q16" s="68">
        <v>0.8</v>
      </c>
      <c r="R16" s="68">
        <f>Q16*D21</f>
        <v>0.94399999999999995</v>
      </c>
      <c r="S16" s="68">
        <f>Q16*D22</f>
        <v>1.016</v>
      </c>
      <c r="T16"/>
    </row>
    <row r="17" spans="2:24" ht="14" thickBot="1" x14ac:dyDescent="0.2">
      <c r="B17" s="183" t="s">
        <v>16</v>
      </c>
      <c r="C17" s="185"/>
      <c r="D17" s="79">
        <v>305</v>
      </c>
      <c r="E17" s="79">
        <v>13</v>
      </c>
      <c r="F17" s="73">
        <f t="shared" si="2"/>
        <v>292</v>
      </c>
      <c r="G17" s="80">
        <f t="shared" si="3"/>
        <v>318</v>
      </c>
      <c r="H17" s="79">
        <v>20</v>
      </c>
      <c r="I17" s="79">
        <f>H17*D$21</f>
        <v>23.599999999999998</v>
      </c>
      <c r="J17" s="79">
        <f>H17*D$22</f>
        <v>25.4</v>
      </c>
      <c r="K17" s="73">
        <f t="shared" si="0"/>
        <v>285</v>
      </c>
      <c r="L17" s="87">
        <f t="shared" si="1"/>
        <v>325</v>
      </c>
      <c r="M17" s="73">
        <f>$D17-I17</f>
        <v>281.39999999999998</v>
      </c>
      <c r="N17" s="87">
        <f>IF(M17="","",$D17+I17)</f>
        <v>328.6</v>
      </c>
      <c r="O17" s="73">
        <f>$D17-J17</f>
        <v>279.60000000000002</v>
      </c>
      <c r="P17" s="87">
        <f>IF(O17="","",$D17+J17)</f>
        <v>330.4</v>
      </c>
      <c r="Q17" s="79">
        <v>25</v>
      </c>
      <c r="R17" s="79"/>
      <c r="S17" s="79"/>
      <c r="T17"/>
    </row>
    <row r="18" spans="2:24" ht="14" thickBot="1" x14ac:dyDescent="0.2">
      <c r="B18" s="183" t="s">
        <v>51</v>
      </c>
      <c r="C18" s="185"/>
      <c r="D18" s="89">
        <v>14.5</v>
      </c>
      <c r="E18" s="89">
        <v>0.5</v>
      </c>
      <c r="F18" s="28">
        <f>D18-E18</f>
        <v>14</v>
      </c>
      <c r="G18" s="80"/>
      <c r="H18" s="79">
        <v>1</v>
      </c>
      <c r="I18" s="89">
        <f>H18*D$21</f>
        <v>1.18</v>
      </c>
      <c r="J18" s="89">
        <f>H18*D$22</f>
        <v>1.27</v>
      </c>
      <c r="K18" s="28">
        <f t="shared" si="0"/>
        <v>13.5</v>
      </c>
      <c r="L18" s="87"/>
      <c r="M18" s="28">
        <f>$D18-I18</f>
        <v>13.32</v>
      </c>
      <c r="N18" s="87"/>
      <c r="O18" s="28">
        <f>$D18-J18</f>
        <v>13.23</v>
      </c>
      <c r="P18" s="87"/>
      <c r="Q18" s="79"/>
      <c r="R18" s="79"/>
      <c r="S18" s="79"/>
      <c r="T18"/>
    </row>
    <row r="19" spans="2:24" ht="14" thickBot="1" x14ac:dyDescent="0.2"/>
    <row r="20" spans="2:24" ht="14" thickBot="1" x14ac:dyDescent="0.2">
      <c r="B20" s="97" t="s">
        <v>23</v>
      </c>
      <c r="C20" s="94">
        <v>2</v>
      </c>
      <c r="D20" s="91">
        <v>1</v>
      </c>
      <c r="G20" s="224" t="s">
        <v>68</v>
      </c>
      <c r="H20" s="224"/>
      <c r="I20" s="224" t="s">
        <v>69</v>
      </c>
      <c r="J20" s="224"/>
      <c r="K20" s="224" t="s">
        <v>70</v>
      </c>
      <c r="L20" s="224"/>
      <c r="M20" s="224" t="s">
        <v>71</v>
      </c>
      <c r="N20" s="224"/>
      <c r="P20"/>
      <c r="Q20"/>
      <c r="R20"/>
      <c r="S20"/>
      <c r="T20"/>
      <c r="U20"/>
      <c r="V20"/>
      <c r="W20"/>
      <c r="X20"/>
    </row>
    <row r="21" spans="2:24" ht="14" thickBot="1" x14ac:dyDescent="0.2">
      <c r="B21" s="98" t="s">
        <v>23</v>
      </c>
      <c r="C21" s="95">
        <v>3</v>
      </c>
      <c r="D21" s="92">
        <v>1.18</v>
      </c>
      <c r="F21" s="125" t="s">
        <v>29</v>
      </c>
      <c r="G21" s="123" t="s">
        <v>28</v>
      </c>
      <c r="H21" s="126">
        <v>4</v>
      </c>
      <c r="I21" s="123" t="s">
        <v>28</v>
      </c>
      <c r="J21" s="127">
        <v>4</v>
      </c>
      <c r="K21" s="123" t="s">
        <v>28</v>
      </c>
      <c r="L21" s="126">
        <v>4</v>
      </c>
      <c r="M21" s="123" t="s">
        <v>28</v>
      </c>
      <c r="N21" s="127">
        <v>4</v>
      </c>
      <c r="P21"/>
      <c r="Q21"/>
      <c r="R21"/>
      <c r="S21"/>
      <c r="T21"/>
      <c r="U21"/>
      <c r="V21"/>
      <c r="W21"/>
      <c r="X21"/>
    </row>
    <row r="22" spans="2:24" ht="14" thickBot="1" x14ac:dyDescent="0.2">
      <c r="B22" s="99" t="s">
        <v>23</v>
      </c>
      <c r="C22" s="96">
        <v>4</v>
      </c>
      <c r="D22" s="93">
        <v>1.27</v>
      </c>
      <c r="F22" s="125" t="s">
        <v>40</v>
      </c>
      <c r="G22" s="123" t="s">
        <v>28</v>
      </c>
      <c r="H22" s="126">
        <v>4</v>
      </c>
      <c r="I22" s="123" t="s">
        <v>28</v>
      </c>
      <c r="J22" s="127">
        <v>4</v>
      </c>
      <c r="K22" s="123" t="s">
        <v>28</v>
      </c>
      <c r="L22" s="126">
        <v>4</v>
      </c>
      <c r="M22" s="123" t="s">
        <v>28</v>
      </c>
      <c r="N22" s="127">
        <v>4</v>
      </c>
      <c r="P22"/>
      <c r="Q22"/>
      <c r="R22"/>
      <c r="S22"/>
      <c r="T22"/>
      <c r="U22"/>
      <c r="V22"/>
      <c r="W22"/>
      <c r="X22"/>
    </row>
    <row r="24" spans="2:24" x14ac:dyDescent="0.15">
      <c r="B24" s="14"/>
      <c r="C24" s="14"/>
      <c r="D24" s="14"/>
      <c r="E24" s="14"/>
      <c r="F24" s="14"/>
      <c r="G24" s="14"/>
      <c r="H24" s="14"/>
      <c r="I24" s="14"/>
      <c r="J24" s="14"/>
      <c r="K24" s="14"/>
      <c r="L24"/>
      <c r="M24" s="14"/>
      <c r="N24"/>
      <c r="O24" s="14"/>
      <c r="P24"/>
      <c r="Q24"/>
      <c r="R24"/>
      <c r="S24"/>
      <c r="T24"/>
      <c r="U24"/>
      <c r="V24"/>
      <c r="W24"/>
      <c r="X24"/>
    </row>
    <row r="27" spans="2:24" x14ac:dyDescent="0.15">
      <c r="B27"/>
      <c r="C27"/>
      <c r="D27"/>
    </row>
    <row r="28" spans="2:24" x14ac:dyDescent="0.15">
      <c r="B28"/>
      <c r="C28"/>
      <c r="D28"/>
    </row>
    <row r="29" spans="2:24" x14ac:dyDescent="0.15">
      <c r="B29"/>
      <c r="C29"/>
      <c r="D29"/>
    </row>
  </sheetData>
  <mergeCells count="20">
    <mergeCell ref="B12:C12"/>
    <mergeCell ref="B13:C13"/>
    <mergeCell ref="I20:J20"/>
    <mergeCell ref="K20:L20"/>
    <mergeCell ref="M20:N20"/>
    <mergeCell ref="H4:P4"/>
    <mergeCell ref="Q4:S4"/>
    <mergeCell ref="E4:G4"/>
    <mergeCell ref="B10:C10"/>
    <mergeCell ref="B11:C11"/>
    <mergeCell ref="B6:C6"/>
    <mergeCell ref="B7:C7"/>
    <mergeCell ref="B8:C8"/>
    <mergeCell ref="B9:C9"/>
    <mergeCell ref="G20:H20"/>
    <mergeCell ref="B16:C16"/>
    <mergeCell ref="B17:C17"/>
    <mergeCell ref="B14:C14"/>
    <mergeCell ref="B15:C15"/>
    <mergeCell ref="B18:C18"/>
  </mergeCells>
  <phoneticPr fontId="0" type="noConversion"/>
  <pageMargins left="0.75" right="0.75" top="1" bottom="1" header="0.5" footer="0.5"/>
  <pageSetup scale="69" orientation="landscape" horizontalDpi="429496729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Report</vt:lpstr>
      <vt:lpstr>Charts</vt:lpstr>
      <vt:lpstr>Configure</vt:lpstr>
      <vt:lpstr>Charts!Print_Area</vt:lpstr>
      <vt:lpstr>Configure!Print_Area</vt:lpstr>
      <vt:lpstr>Report!Print_Area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johnson</dc:creator>
  <cp:lastModifiedBy>Philip Johnson</cp:lastModifiedBy>
  <cp:lastPrinted>2024-01-27T22:18:29Z</cp:lastPrinted>
  <dcterms:created xsi:type="dcterms:W3CDTF">2005-05-19T21:42:07Z</dcterms:created>
  <dcterms:modified xsi:type="dcterms:W3CDTF">2024-01-27T22:20:21Z</dcterms:modified>
</cp:coreProperties>
</file>